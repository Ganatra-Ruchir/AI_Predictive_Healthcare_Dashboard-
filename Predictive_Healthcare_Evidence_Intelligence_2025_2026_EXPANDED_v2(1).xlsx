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5e53f2385741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6ea04477f6c4f91"/>
    <x:sheet xmlns:r="http://schemas.openxmlformats.org/officeDocument/2006/relationships" name="Executive_Dashboard" sheetId="2" r:id="R213c3abd25a345d4"/>
    <x:sheet xmlns:r="http://schemas.openxmlformats.org/officeDocument/2006/relationships" name="Evidence_Master" sheetId="3" r:id="R187f327d82f94341"/>
    <x:sheet xmlns:r="http://schemas.openxmlformats.org/officeDocument/2006/relationships" name="Metric_Long" sheetId="4" r:id="R601f8608858440a3"/>
    <x:sheet xmlns:r="http://schemas.openxmlformats.org/officeDocument/2006/relationships" name="Validation_Gaps" sheetId="5" r:id="R19aedc76e5a646ce"/>
    <x:sheet xmlns:r="http://schemas.openxmlformats.org/officeDocument/2006/relationships" name="Disease_Sensor_Model" sheetId="6" r:id="R20ed693b15264e36"/>
    <x:sheet xmlns:r="http://schemas.openxmlformats.org/officeDocument/2006/relationships" name="Clinical_Trials_2025_26" sheetId="7" r:id="Rf003a97ac7424d3d"/>
    <x:sheet xmlns:r="http://schemas.openxmlformats.org/officeDocument/2006/relationships" name="Open_Datasets" sheetId="8" r:id="R8a34da47bfaf482c"/>
    <x:sheet xmlns:r="http://schemas.openxmlformats.org/officeDocument/2006/relationships" name="FDA_sDHT_2025_26" sheetId="9" r:id="Rf5eaea240cf34287"/>
    <x:sheet xmlns:r="http://schemas.openxmlformats.org/officeDocument/2006/relationships" name="Regulatory_Updates" sheetId="10" r:id="Rcf379a92ab624ca4"/>
    <x:sheet xmlns:r="http://schemas.openxmlformats.org/officeDocument/2006/relationships" name="Narrative_Story" sheetId="11" r:id="Raaf057f0a6c94f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yyyy-mm-dd"/>
  </x:numFmts>
  <x:fonts count="7">
    <x:font>
      <x:sz val="11"/>
      <x:name val="Carlito"/>
    </x:font>
    <x:font>
      <x:sz val="10"/>
      <x:color rgb="FF16332B"/>
      <x:name val="Aptos"/>
    </x:font>
    <x:font>
      <x:b/>
      <x:sz val="10"/>
      <x:color rgb="FFFFFFFF"/>
      <x:name val="Aptos"/>
    </x:font>
    <x:font>
      <x:b/>
      <x:sz val="18"/>
      <x:color rgb="FFFFFFFF"/>
      <x:name val="Aptos"/>
    </x:font>
    <x:font>
      <x:b/>
      <x:sz val="10"/>
      <x:color rgb="FF7A4D00"/>
      <x:name val="Aptos"/>
    </x:font>
    <x:font>
      <x:b/>
      <x:sz val="20"/>
      <x:color rgb="FF0B5D4B"/>
      <x:name val="Aptos"/>
    </x:font>
    <x:font>
      <x:sz val="10"/>
      <x:color rgb="FF335C52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0B3B34"/>
      </x:patternFill>
    </x:fill>
    <x:fill>
      <x:patternFill patternType="solid">
        <x:fgColor rgb="FFFFF3CD"/>
      </x:patternFill>
    </x:fill>
    <x:fill>
      <x:patternFill patternType="solid">
        <x:fgColor rgb="FFEAF8F3"/>
      </x:patternFill>
    </x:fill>
    <x:fill>
      <x:patternFill patternType="solid">
        <x:fgColor rgb="FFEAF8F3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6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1" fillId="4" borderId="1" xfId="0" applyNumberFormat="1" applyFont="1" applyFill="1" applyBorder="1"/>
    <x:xf numFmtId="0" fontId="4" fillId="4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horizont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horizontal="center" wrapText="1"/>
    </x:xf>
    <x:xf numFmtId="0" fontId="6" fillId="0" borderId="0" xfId="0" applyNumberFormat="1" applyFont="1" applyFill="1" applyBorder="1" applyAlignment="1">
      <x:alignment horizontal="center" vertical="center" wrapText="1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horizontal="center" wrapText="1"/>
    </x:xf>
    <x:xf numFmtId="0" fontId="6" fillId="0" borderId="1" xfId="0" applyNumberFormat="1" applyFont="1" applyFill="1" applyBorder="1" applyAlignment="1">
      <x:alignment horizontal="center" vertical="center" wrapText="1"/>
    </x:xf>
    <x:xf numFmtId="200" fontId="5" fillId="5" borderId="0" xfId="0" applyNumberFormat="1" applyFont="1" applyFill="1" applyBorder="1" applyAlignment="1">
      <x:alignment horizontal="center" vertical="center" wrapText="1"/>
    </x:xf>
    <x:xf numFmtId="200" fontId="5" fillId="5" borderId="1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0" fontId="1" fillId="0" borderId="1" xfId="0" applyNumberFormat="1" applyFont="1" applyFill="1" applyBorder="1"/>
    <x:xf numFmtId="201" fontId="1" fillId="0" borderId="0" xfId="0" applyNumberFormat="1" applyFont="1" applyFill="1" applyBorder="1"/>
    <x:xf numFmtId="201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 vertical="center" wrapText="1"/>
    </x:xf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horizontal="center" wrapText="1"/>
    </x:xf>
    <x:xf numFmtId="200" fontId="5" fillId="6" borderId="0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e9be920f85404c" /><Relationship Type="http://schemas.openxmlformats.org/officeDocument/2006/relationships/theme" Target="/xl/theme/theme1.xml" Id="Rb5ed4099abd54746" /><Relationship Type="http://schemas.openxmlformats.org/officeDocument/2006/relationships/sharedStrings" Target="/xl/sharedStrings.xml" Id="R282fd6e5fb834ae8" /><Relationship Type="http://schemas.openxmlformats.org/officeDocument/2006/relationships/worksheet" Target="/xl/worksheets/sheet1.xml" Id="R66ea04477f6c4f91" /><Relationship Type="http://schemas.openxmlformats.org/officeDocument/2006/relationships/worksheet" Target="/xl/worksheets/sheet2.xml" Id="R213c3abd25a345d4" /><Relationship Type="http://schemas.openxmlformats.org/officeDocument/2006/relationships/worksheet" Target="/xl/worksheets/sheet3.xml" Id="R187f327d82f94341" /><Relationship Type="http://schemas.openxmlformats.org/officeDocument/2006/relationships/worksheet" Target="/xl/worksheets/sheet4.xml" Id="R601f8608858440a3" /><Relationship Type="http://schemas.openxmlformats.org/officeDocument/2006/relationships/worksheet" Target="/xl/worksheets/sheet5.xml" Id="R19aedc76e5a646ce" /><Relationship Type="http://schemas.openxmlformats.org/officeDocument/2006/relationships/worksheet" Target="/xl/worksheets/sheet6.xml" Id="R20ed693b15264e36" /><Relationship Type="http://schemas.openxmlformats.org/officeDocument/2006/relationships/worksheet" Target="/xl/worksheets/sheet7.xml" Id="Rf003a97ac7424d3d" /><Relationship Type="http://schemas.openxmlformats.org/officeDocument/2006/relationships/worksheet" Target="/xl/worksheets/sheet8.xml" Id="R8a34da47bfaf482c" /><Relationship Type="http://schemas.openxmlformats.org/officeDocument/2006/relationships/worksheet" Target="/xl/worksheets/sheet9.xml" Id="Rf5eaea240cf34287" /><Relationship Type="http://schemas.openxmlformats.org/officeDocument/2006/relationships/worksheet" Target="/xl/worksheets/sheet10.xml" Id="Rcf379a92ab624ca4" /><Relationship Type="http://schemas.openxmlformats.org/officeDocument/2006/relationships/worksheet" Target="/xl/worksheets/sheet11.xml" Id="Raaf057f0a6c94f5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650301c4c184f79" /><Relationship Type="http://schemas.openxmlformats.org/officeDocument/2006/relationships/chart" Target="/xl/drawings/charts/chart2.xml" Id="R5d2240913f8b4b86" /><Relationship Type="http://schemas.openxmlformats.org/officeDocument/2006/relationships/chart" Target="/xl/drawings/charts/chart3.xml" Id="Rcf94ceab120c4a2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Curated evidence records by domain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Evidence count</c:v>
          </c:tx>
          <c:cat>
            <c:strRef>
              <c:f>'Executive_Dashboard'!$H$16:$H$25</c:f>
              <c:strCache>
                <c:ptCount val="0"/>
              </c:strCache>
            </c:strRef>
          </c:cat>
          <c:val>
            <c:numRef>
              <c:f>'Executive_Dashboard'!$I$16:$I$25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FDA sensor-based DHT decisions by panel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Decision count</c:v>
          </c:tx>
          <c:cat>
            <c:strRef>
              <c:f>'Executive_Dashboard'!$H$29:$H$36</c:f>
              <c:strCache>
                <c:ptCount val="0"/>
              </c:strCache>
            </c:strRef>
          </c:cat>
          <c:val>
            <c:numRef>
              <c:f>'Executive_Dashboard'!$I$29:$I$36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Validation / reproducibility indicators (%)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Percent</c:v>
          </c:tx>
          <c:cat>
            <c:strRef>
              <c:f>'Executive_Dashboard'!$K$29:$K$34</c:f>
              <c:strCache>
                <c:ptCount val="0"/>
              </c:strCache>
            </c:strRef>
          </c:cat>
          <c:val>
            <c:numRef>
              <c:f>'Executive_Dashboard'!$L$29:$L$34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37</xdr:row>
      <xdr:rowOff>0</xdr:rowOff>
    </xdr:from>
    <xdr:to>
      <xdr:col>12</xdr:col>
      <xdr:colOff>0</xdr:colOff>
      <xdr:row>52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650301c4c184f79"/>
        </a:graphicData>
      </a:graphic>
    </xdr:graphicFrame>
    <xdr:clientData/>
  </xdr:twoCellAnchor>
  <xdr:twoCellAnchor>
    <xdr:from>
      <xdr:col>0</xdr:col>
      <xdr:colOff>0</xdr:colOff>
      <xdr:row>37</xdr:row>
      <xdr:rowOff>0</xdr:rowOff>
    </xdr:from>
    <xdr:to>
      <xdr:col>6</xdr:col>
      <xdr:colOff>0</xdr:colOff>
      <xdr:row>52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d2240913f8b4b86"/>
        </a:graphicData>
      </a:graphic>
    </xdr:graphicFrame>
    <xdr:clientData/>
  </xdr:twoCellAnchor>
  <xdr:twoCellAnchor>
    <xdr:from>
      <xdr:col>0</xdr:col>
      <xdr:colOff>0</xdr:colOff>
      <xdr:row>53</xdr:row>
      <xdr:rowOff>0</xdr:rowOff>
    </xdr:from>
    <xdr:to>
      <xdr:col>6</xdr:col>
      <xdr:colOff>0</xdr:colOff>
      <xdr:row>69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f94ceab120c4a2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EvidenceMasterTable" displayName="EvidenceMasterTable" ref="A1:Y36" headerRowCount="1" totalsRowCount="0" totalsRowShown="0">
  <x:tableColumns count="25">
    <x:tableColumn id="1" name="Evidence_ID"/>
    <x:tableColumn id="2" name="Publication_Year"/>
    <x:tableColumn id="3" name="Publication_Date"/>
    <x:tableColumn id="4" name="Domain"/>
    <x:tableColumn id="5" name="Condition"/>
    <x:tableColumn id="6" name="Evidence_Layer"/>
    <x:tableColumn id="7" name="Study_Design"/>
    <x:tableColumn id="8" name="Scope_N"/>
    <x:tableColumn id="9" name="Scope_Unit"/>
    <x:tableColumn id="10" name="Included_Studies_or_Models"/>
    <x:tableColumn id="11" name="Wearable_or_Data_Source"/>
    <x:tableColumn id="12" name="Sensors_or_Modalities"/>
    <x:tableColumn id="13" name="AI_or_Method"/>
    <x:tableColumn id="14" name="Primary_Question"/>
    <x:tableColumn id="15" name="Key_Result"/>
    <x:tableColumn id="16" name="Underlying_Data_Window"/>
    <x:tableColumn id="17" name="Freshness_Flag"/>
    <x:tableColumn id="18" name="External_Validation"/>
    <x:tableColumn id="19" name="Prospective_or_Real_World"/>
    <x:tableColumn id="20" name="Open_Data"/>
    <x:tableColumn id="21" name="Evidence_Maturity"/>
    <x:tableColumn id="22" name="Key_Limitation"/>
    <x:tableColumn id="23" name="DOI"/>
    <x:tableColumn id="24" name="PMID"/>
    <x:tableColumn id="25" name="Source_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etricLongTable" displayName="MetricLongTable" ref="A1:K111" headerRowCount="1" totalsRowCount="0" totalsRowShown="0">
  <x:tableColumns count="11">
    <x:tableColumn id="1" name="Metric_ID"/>
    <x:tableColumn id="2" name="Evidence_ID"/>
    <x:tableColumn id="3" name="Domain"/>
    <x:tableColumn id="4" name="Chart_Group"/>
    <x:tableColumn id="5" name="Metric"/>
    <x:tableColumn id="6" name="Value"/>
    <x:tableColumn id="7" name="Unit"/>
    <x:tableColumn id="8" name="Direction"/>
    <x:tableColumn id="9" name="Denominator_or_Context"/>
    <x:tableColumn id="10" name="Metric_Type"/>
    <x:tableColumn id="11" name="Source_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7" name="ValidationGapTable" displayName="ValidationGapTable" ref="A1:H7" headerRowCount="1" totalsRowCount="0" totalsRowShown="0">
  <x:tableColumns count="8">
    <x:tableColumn id="1" name="Topic"/>
    <x:tableColumn id="2" name="Domain"/>
    <x:tableColumn id="3" name="Denominator"/>
    <x:tableColumn id="4" name="Numerator"/>
    <x:tableColumn id="5" name="Rate"/>
    <x:tableColumn id="6" name="What_Numerator_Means"/>
    <x:tableColumn id="7" name="Interpretation"/>
    <x:tableColumn id="8" name="Source_Evidence_I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8" name="DiseaseSensorModelTable" displayName="DiseaseSensorModelTable" ref="A1:I27" headerRowCount="1" totalsRowCount="0" totalsRowShown="0">
  <x:tableColumns count="9">
    <x:tableColumn id="1" name="Domain"/>
    <x:tableColumn id="2" name="Condition"/>
    <x:tableColumn id="3" name="Category"/>
    <x:tableColumn id="4" name="Item"/>
    <x:tableColumn id="5" name="Count"/>
    <x:tableColumn id="6" name="Denominator"/>
    <x:tableColumn id="7" name="Share"/>
    <x:tableColumn id="8" name="Evidence_ID"/>
    <x:tableColumn id="9" name="Why_It_Matter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3" name="ClinicalTrialsTable" displayName="ClinicalTrialsTable" ref="A1:O9" headerRowCount="1" totalsRowCount="0" totalsRowShown="0">
  <x:tableColumns count="15">
    <x:tableColumn id="1" name="NCT_ID"/>
    <x:tableColumn id="2" name="Title"/>
    <x:tableColumn id="3" name="Domain"/>
    <x:tableColumn id="4" name="Status"/>
    <x:tableColumn id="5" name="Sponsor"/>
    <x:tableColumn id="6" name="Country"/>
    <x:tableColumn id="7" name="Study_Type"/>
    <x:tableColumn id="8" name="Start_Date"/>
    <x:tableColumn id="9" name="Primary_Completion"/>
    <x:tableColumn id="10" name="Enrollment"/>
    <x:tableColumn id="11" name="Wearable_or_Device"/>
    <x:tableColumn id="12" name="AI_or_Analytics"/>
    <x:tableColumn id="13" name="Primary_Data_or_Outcome"/>
    <x:tableColumn id="14" name="Why_Useful"/>
    <x:tableColumn id="15" name="Source_UR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4" name="OpenDatasetsTable" displayName="OpenDatasetsTable" ref="A1:L4" headerRowCount="1" totalsRowCount="0" totalsRowShown="0">
  <x:tableColumns count="12">
    <x:tableColumn id="1" name="Dataset_ID"/>
    <x:tableColumn id="2" name="Release_Year"/>
    <x:tableColumn id="3" name="Dataset"/>
    <x:tableColumn id="4" name="Access"/>
    <x:tableColumn id="5" name="Participants_or_Records"/>
    <x:tableColumn id="6" name="Signals"/>
    <x:tableColumn id="7" name="Device"/>
    <x:tableColumn id="8" name="Setting"/>
    <x:tableColumn id="9" name="Useful_For"/>
    <x:tableColumn id="10" name="Important_Limitation"/>
    <x:tableColumn id="11" name="DOI"/>
    <x:tableColumn id="12" name="Source_URL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5" name="FDAsDHTTable" displayName="FDAsDHTTable" ref="A1:I69" headerRowCount="1" totalsRowCount="0" totalsRowShown="0">
  <x:tableColumns count="9">
    <x:tableColumn id="1" name="Decision_Date"/>
    <x:tableColumn id="2" name="Year"/>
    <x:tableColumn id="3" name="Submission_Number"/>
    <x:tableColumn id="4" name="Device"/>
    <x:tableColumn id="5" name="Company"/>
    <x:tableColumn id="6" name="Panel"/>
    <x:tableColumn id="7" name="Primary_Product_Code"/>
    <x:tableColumn id="8" name="Source_URL"/>
    <x:tableColumn id="9" name="Source_Typ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6" name="RegUpdatesTable" displayName="RegUpdatesTable" ref="A1:H9" headerRowCount="1" totalsRowCount="0" totalsRowShown="0">
  <x:tableColumns count="8">
    <x:tableColumn id="1" name="Update_ID"/>
    <x:tableColumn id="2" name="Date"/>
    <x:tableColumn id="3" name="Year"/>
    <x:tableColumn id="4" name="Agency"/>
    <x:tableColumn id="5" name="Type"/>
    <x:tableColumn id="6" name="Title"/>
    <x:tableColumn id="7" name="Relevance"/>
    <x:tableColumn id="8" name="Source_URL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NarrativeStoryTable" displayName="NarrativeStoryTable" ref="A1:H12" headerRowCount="1" totalsRowCount="0" totalsRowShown="0">
  <x:tableColumns count="8">
    <x:tableColumn id="1" name="Story_Order"/>
    <x:tableColumn id="2" name="Section"/>
    <x:tableColumn id="3" name="Research_Question"/>
    <x:tableColumn id="4" name="Best_User_Facing_Insight"/>
    <x:tableColumn id="5" name="Data_To_Show"/>
    <x:tableColumn id="6" name="Recommended_Visual"/>
    <x:tableColumn id="7" name="Caution_To_Show"/>
    <x:tableColumn id="8" name="Primary_Evidence_ID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4fc7269fe5b64e0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1d8af11fa15f4bb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c9996fd64ce5400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4450d55d5102499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08ed426a219a42d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eaff272490ed460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f9b7707c971e46d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5e2c4cb2998643d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917462621a174cd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57f9111b95f4620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8" hidden="0" customWidth="1"/>
  </x:cols>
  <x:sheetData>
    <x:row r="1" ht="38" customHeight="1">
      <x:c r="A1" s="16" t="str">
        <x:v>Predictive Healthcare Evidence Intelligence — Expanded 2025–2026 Workbook</x:v>
      </x:c>
      <x:c r="B1" s="16"/>
      <x:c r="C1" s="16"/>
      <x:c r="D1" s="16"/>
      <x:c r="E1" s="16"/>
      <x:c r="F1" s="16"/>
      <x:c r="G1" s="16"/>
      <x:c r="H1" s="16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5" t="str">
        <x:v>Sheet</x:v>
      </x:c>
      <x:c r="B3" s="5" t="str">
        <x:v>Purpose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2" t="str">
        <x:v>Executive_Dashboard</x:v>
      </x:c>
      <x:c r="B4" s="2" t="str">
        <x:v>High-value KPIs and charts for the website/dashboard story.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>
      <x:c r="A5" s="2" t="str">
        <x:v>Evidence_Master</x:v>
      </x:c>
      <x:c r="B5" s="2" t="str">
        <x:v>35 curated 2025–2026 publications with design, scope, freshness, validation and limitations.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>
      <x:c r="A6" s="2" t="str">
        <x:v>Metric_Long</x:v>
      </x:c>
      <x:c r="B6" s="2" t="str">
        <x:v>110 source-linked quantitative metrics ready for charts / Power BI / HTML.</x:v>
      </x:c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>
      <x:c r="A7" s="2" t="str">
        <x:v>Validation_Gaps</x:v>
      </x:c>
      <x:c r="B7" s="2" t="str">
        <x:v>Cross-domain validation and reproducibility gaps with calculated rates.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>
      <x:c r="A8" s="2" t="str">
        <x:v>Disease_Sensor_Model</x:v>
      </x:c>
      <x:c r="B8" s="2" t="str">
        <x:v>Sensor/model/objective counts extracted from large recent reviews.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>
      <x:c r="A9" s="2" t="str">
        <x:v>Clinical_Trials_2025_26</x:v>
      </x:c>
      <x:c r="B9" s="2" t="str">
        <x:v>8 prospective trials starting in 2025–2026.</x:v>
      </x:c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>
      <x:c r="A10" s="2" t="str">
        <x:v>Open_Datasets</x:v>
      </x:c>
      <x:c r="B10" s="2" t="str">
        <x:v>Reusable public datasets relevant to wearable predictive-health research.</x:v>
      </x:c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>
      <x:c r="A11" s="2" t="str">
        <x:v>FDA_sDHT_2025_26</x:v>
      </x:c>
      <x:c r="B11" s="2" t="str">
        <x:v>68 FDA sensor-based digital-health decisions in 2025–2026.</x:v>
      </x:c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>
      <x:c r="A12" s="2" t="str">
        <x:v>Regulatory_Updates</x:v>
      </x:c>
      <x:c r="B12" s="2" t="str">
        <x:v>2025–2026 FDA digital-health / AI regulatory milestones.</x:v>
      </x:c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>
      <x:c r="A13" s="2" t="str">
        <x:v>Narrative_Story</x:v>
      </x:c>
      <x:c r="B13" s="2" t="str">
        <x:v>Exact research story + recommended visual for each dashboard chapter.</x:v>
      </x:c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>
      <x:c r="A15" s="21" t="str">
        <x:v>DATA RULES / CAVEATS</x:v>
      </x:c>
      <x:c r="B15" s="21"/>
      <x:c r="C15" s="21"/>
      <x:c r="D15" s="21"/>
      <x:c r="E15" s="21"/>
      <x:c r="F15" s="21"/>
      <x:c r="G15" s="21"/>
      <x:c r="H15" s="21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24" t="str">
        <x:v>Publication year ≠ patient-data year. A 2025/2026 paper may analyze earlier cohorts. Evidence_Master keeps an Underlying_Data_Window and Freshness_Flag.</x:v>
      </x:c>
      <x:c r="B16" s="24"/>
      <x:c r="C16" s="24"/>
      <x:c r="D16" s="24"/>
      <x:c r="E16" s="24"/>
      <x:c r="F16" s="24"/>
      <x:c r="G16" s="24"/>
      <x:c r="H16" s="24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24" t="str">
        <x:v>Do not sum participant counts across reviews: the same primary study can appear in more than one review.</x:v>
      </x:c>
      <x:c r="B17" s="24"/>
      <x:c r="C17" s="24"/>
      <x:c r="D17" s="24"/>
      <x:c r="E17" s="24"/>
      <x:c r="F17" s="24"/>
      <x:c r="G17" s="24"/>
      <x:c r="H17" s="24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24" t="str">
        <x:v>Diagnostic sensitivity/specificity, clinical outcomes, prediction error and implementation metrics are different endpoints and should not be collapsed into one AI score.</x:v>
      </x:c>
      <x:c r="B18" s="24"/>
      <x:c r="C18" s="24"/>
      <x:c r="D18" s="24"/>
      <x:c r="E18" s="24"/>
      <x:c r="F18" s="24"/>
      <x:c r="G18" s="24"/>
      <x:c r="H18" s="24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24" t="str">
        <x:v>FDA_sDHT_2025_26 is the FDA sensor-based digital-health list, not an AI-only authorization list.</x:v>
      </x:c>
      <x:c r="B19" s="24"/>
      <x:c r="C19" s="24"/>
      <x:c r="D19" s="24"/>
      <x:c r="E19" s="24"/>
      <x:c r="F19" s="24"/>
      <x:c r="G19" s="24"/>
      <x:c r="H19" s="24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24" t="str">
        <x:v>Source URLs are included row-by-row for auditability.</x:v>
      </x:c>
      <x:c r="B20" s="24"/>
      <x:c r="C20" s="24"/>
      <x:c r="D20" s="24"/>
      <x:c r="E20" s="24"/>
      <x:c r="F20" s="24"/>
      <x:c r="G20" s="24"/>
      <x:c r="H20" s="24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24" t="str">
        <x:v>This workbook is for research visualization, not clinical decision-making.</x:v>
      </x:c>
      <x:c r="B21" s="24"/>
      <x:c r="C21" s="24"/>
      <x:c r="D21" s="24"/>
      <x:c r="E21" s="24"/>
      <x:c r="F21" s="24"/>
      <x:c r="G21" s="24"/>
      <x:c r="H21" s="24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  <x:row r="25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</x:row>
    <x:row r="252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</x:row>
    <x:row r="253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</x:row>
    <x:row r="254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</x:row>
    <x:row r="255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</x:row>
    <x:row r="256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</x:row>
    <x:row r="257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</x:row>
    <x:row r="258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</x:row>
    <x:row r="259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</x:row>
    <x:row r="260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</x:row>
    <x:row r="26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</x:row>
    <x:row r="262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</x:row>
    <x:row r="263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</x:row>
    <x:row r="264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</x:row>
    <x:row r="265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</x:row>
    <x:row r="266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</x:row>
    <x:row r="267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</x:row>
    <x:row r="268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</x:row>
    <x:row r="269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</x:row>
    <x:row r="270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</x:row>
    <x:row r="27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</x:row>
    <x:row r="272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</x:row>
    <x:row r="273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</x:row>
    <x:row r="274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</x:row>
    <x:row r="275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</x:row>
    <x:row r="276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</x:row>
    <x:row r="277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</x:row>
    <x:row r="278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</x:row>
    <x:row r="279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</x:row>
    <x:row r="280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</x:row>
    <x:row r="28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</x:row>
    <x:row r="282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</x:row>
    <x:row r="283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</x:row>
    <x:row r="284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</x:row>
    <x:row r="285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</x:row>
    <x:row r="286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</x:row>
    <x:row r="287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</x:row>
    <x:row r="288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</x:row>
    <x:row r="289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</x:row>
    <x:row r="290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</x:row>
    <x:row r="29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</x:row>
    <x:row r="292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</x:row>
    <x:row r="293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</x:row>
    <x:row r="294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</x:row>
    <x:row r="295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</x:row>
    <x:row r="296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</x:row>
    <x:row r="297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</x:row>
    <x:row r="298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</x:row>
    <x:row r="299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</x:row>
    <x:row r="300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</x:row>
  </x:sheetData>
  <x:mergeCells>
    <x:mergeCell ref="A1:H1"/>
    <x:mergeCell ref="A16:H16"/>
    <x:mergeCell ref="A17:H17"/>
    <x:mergeCell ref="A18:H18"/>
    <x:mergeCell ref="A19:H19"/>
    <x:mergeCell ref="A20:H20"/>
    <x:mergeCell ref="A21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4" hidden="0" customWidth="1"/>
    <x:col min="5" max="5" width="42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24" hidden="0" customWidth="1"/>
    <x:col min="12" max="12" width="11" hidden="0" customWidth="1"/>
  </x:cols>
  <x:sheetData>
    <x:row r="1" ht="38" customHeight="1">
      <x:c r="A1" s="16" t="str">
        <x:v>Evidence Intelligence Dashboard — Stronger Data for User-Facing Visualization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51" t="n">
        <x:v>35</x:v>
      </x:c>
      <x:c r="B4" s="51"/>
      <x:c r="C4" s="51"/>
      <x:c r="D4" s="51" t="n">
        <x:v>110</x:v>
      </x:c>
      <x:c r="E4" s="51"/>
      <x:c r="F4" s="51"/>
      <x:c r="G4" s="51" t="n">
        <x:v>68</x:v>
      </x:c>
      <x:c r="H4" s="51"/>
      <x:c r="I4" s="51"/>
      <x:c r="J4" s="51" t="n">
        <x:v>8</x:v>
      </x:c>
      <x:c r="K4" s="51"/>
      <x:c r="L4" s="51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>
      <x:c r="A5" s="51" t="str">
        <x:v>curated 2025–26 evidence records</x:v>
      </x:c>
      <x:c r="B5" s="51"/>
      <x:c r="C5" s="51"/>
      <x:c r="D5" s="51" t="str">
        <x:v>chart-ready quantitative metrics</x:v>
      </x:c>
      <x:c r="E5" s="51"/>
      <x:c r="F5" s="51"/>
      <x:c r="G5" s="51" t="str">
        <x:v>FDA sDHT decisions in 2025–26</x:v>
      </x:c>
      <x:c r="H5" s="51"/>
      <x:c r="I5" s="51"/>
      <x:c r="J5" s="51" t="str">
        <x:v>prospective 2025–26-start trials</x:v>
      </x:c>
      <x:c r="K5" s="51"/>
      <x:c r="L5" s="51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>
      <x:c r="A6" s="53" t="str">
        <x:v>curated 2025–26 evidence records</x:v>
      </x:c>
      <x:c r="B6" s="53"/>
      <x:c r="C6" s="53"/>
      <x:c r="D6" s="53" t="str">
        <x:v>chart-ready quantitative metrics</x:v>
      </x:c>
      <x:c r="E6" s="53"/>
      <x:c r="F6" s="53"/>
      <x:c r="G6" s="53" t="str">
        <x:v>FDA sensor-based DHT decisions in 2025–26</x:v>
      </x:c>
      <x:c r="H6" s="53"/>
      <x:c r="I6" s="53"/>
      <x:c r="J6" s="53" t="str">
        <x:v>prospective 2025–26-start trials</x:v>
      </x:c>
      <x:c r="K6" s="53"/>
      <x:c r="L6" s="53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>
      <x:c r="A7" s="53"/>
      <x:c r="B7" s="53"/>
      <x:c r="C7" s="53"/>
      <x:c r="D7" s="53"/>
      <x:c r="E7" s="53"/>
      <x:c r="F7" s="53"/>
      <x:c r="G7" s="53"/>
      <x:c r="H7" s="53"/>
      <x:c r="I7" s="53"/>
      <x:c r="J7" s="53"/>
      <x:c r="K7" s="53"/>
      <x:c r="L7" s="53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>
      <x:c r="A9" s="51" t="n">
        <x:v>17349</x:v>
      </x:c>
      <x:c r="B9" s="51"/>
      <x:c r="C9" s="51"/>
      <x:c r="D9" s="51" t="n">
        <x:v>23171</x:v>
      </x:c>
      <x:c r="E9" s="51"/>
      <x:c r="F9" s="51"/>
      <x:c r="G9" s="60" t="n">
        <x:v>0.061</x:v>
      </x:c>
      <x:c r="H9" s="60"/>
      <x:c r="I9" s="60"/>
      <x:c r="J9" s="60" t="n">
        <x:v>0.657</x:v>
      </x:c>
      <x:c r="K9" s="60"/>
      <x:c r="L9" s="60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>
      <x:c r="A10" s="51" t="str">
        <x:v>patients in 2025 AF smartwatch meta-analysis</x:v>
      </x:c>
      <x:c r="B10" s="51"/>
      <x:c r="C10" s="51"/>
      <x:c r="D10" s="51" t="str">
        <x:v>participants in 2026 AI-oximetry OSA meta-analysis</x:v>
      </x:c>
      <x:c r="E10" s="51"/>
      <x:c r="F10" s="51"/>
      <x:c r="G10" s="60" t="str">
        <x:v>Parkinson studies with external validation</x:v>
      </x:c>
      <x:c r="H10" s="60"/>
      <x:c r="I10" s="60"/>
      <x:c r="J10" s="60" t="str">
        <x:v>epilepsy wearable studies using closed-source data</x:v>
      </x:c>
      <x:c r="K10" s="60"/>
      <x:c r="L10" s="60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>
      <x:c r="A11" s="53" t="str">
        <x:v>patients in 2025 AF smartwatch meta-analysis</x:v>
      </x:c>
      <x:c r="B11" s="53"/>
      <x:c r="C11" s="53"/>
      <x:c r="D11" s="53" t="str">
        <x:v>participants in 2026 AI-oximetry OSA meta-analysis</x:v>
      </x:c>
      <x:c r="E11" s="53"/>
      <x:c r="F11" s="53"/>
      <x:c r="G11" s="53" t="str">
        <x:v>Parkinson studies with external validation</x:v>
      </x:c>
      <x:c r="H11" s="53"/>
      <x:c r="I11" s="53"/>
      <x:c r="J11" s="53" t="str">
        <x:v>epilepsy wearable studies using closed-source data</x:v>
      </x:c>
      <x:c r="K11" s="53"/>
      <x:c r="L11" s="53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>
      <x:c r="A12" s="53"/>
      <x:c r="B12" s="53"/>
      <x:c r="C12" s="53"/>
      <x:c r="D12" s="53"/>
      <x:c r="E12" s="53"/>
      <x:c r="F12" s="53"/>
      <x:c r="G12" s="53"/>
      <x:c r="H12" s="53"/>
      <x:c r="I12" s="53"/>
      <x:c r="J12" s="53"/>
      <x:c r="K12" s="53"/>
      <x:c r="L12" s="53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>
      <x:c r="A15" s="6" t="str">
        <x:v>Story signal</x:v>
      </x:c>
      <x:c r="B15" s="6" t="str">
        <x:v>Value 1</x:v>
      </x:c>
      <x:c r="C15" s="6" t="str">
        <x:v>Value 2</x:v>
      </x:c>
      <x:c r="D15" s="6" t="str">
        <x:v>Context</x:v>
      </x:c>
      <x:c r="E15" s="6" t="str">
        <x:v>Why it matters</x:v>
      </x:c>
      <x:c r="F15" s="6" t="str">
        <x:v>Source</x:v>
      </x:c>
      <x:c r="G15" s="2"/>
      <x:c r="H15" s="6" t="str">
        <x:v>Domain</x:v>
      </x:c>
      <x:c r="I15" s="6" t="str">
        <x:v>Evidence count</x:v>
      </x:c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24" t="str">
        <x:v>AF smartwatch diagnostic meta-analysis</x:v>
      </x:c>
      <x:c r="B16" s="24" t="n">
        <x:v>0.95</x:v>
      </x:c>
      <x:c r="C16" s="24" t="n">
        <x:v>0.97</x:v>
      </x:c>
      <x:c r="D16" s="24" t="str">
        <x:v>Sensitivity / specificity</x:v>
      </x:c>
      <x:c r="E16" s="24" t="str">
        <x:v>Strong discrimination but high heterogeneity</x:v>
      </x:c>
      <x:c r="F16" s="24" t="str">
        <x:v>E002</x:v>
      </x:c>
      <x:c r="G16" s="2"/>
      <x:c r="H16" s="2" t="str">
        <x:v>Cardiovascular</x:v>
      </x:c>
      <x:c r="I16" s="2" t="n">
        <x:f>COUNTIF(Evidence_Master!$D$2:$D$200,H16)</x:f>
        <x:v>4</x:v>
      </x:c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24" t="str">
        <x:v>EQUAL RCT</x:v>
      </x:c>
      <x:c r="B17" s="24" t="n">
        <x:v>0.096</x:v>
      </x:c>
      <x:c r="C17" s="24" t="n">
        <x:v>0.023</x:v>
      </x:c>
      <x:c r="D17" s="24" t="str">
        <x:v>Smartwatch vs standard-care AF detected</x:v>
      </x:c>
      <x:c r="E17" s="24" t="str">
        <x:v>Clinical pathway changed detection yield</x:v>
      </x:c>
      <x:c r="F17" s="24" t="str">
        <x:v>E003</x:v>
      </x:c>
      <x:c r="G17" s="2"/>
      <x:c r="H17" s="2" t="str">
        <x:v>Metabolic</x:v>
      </x:c>
      <x:c r="I17" s="2" t="n">
        <x:f>COUNTIF(Evidence_Master!$D$2:$D$200,H17)</x:f>
        <x:v>4</x:v>
      </x:c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24" t="str">
        <x:v>CGM cardiometabolic meta-analysis</x:v>
      </x:c>
      <x:c r="B18" s="24" t="n">
        <x:v>-0.48</x:v>
      </x:c>
      <x:c r="C18" s="24" t="n">
        <x:v>10.76</x:v>
      </x:c>
      <x:c r="D18" s="24" t="str">
        <x:v>HbA1c pp / TIR pp</x:v>
      </x:c>
      <x:c r="E18" s="24" t="str">
        <x:v>Shows multi-outcome patient value</x:v>
      </x:c>
      <x:c r="F18" s="24" t="str">
        <x:v>E005</x:v>
      </x:c>
      <x:c r="G18" s="2"/>
      <x:c r="H18" s="2" t="str">
        <x:v>Neurology</x:v>
      </x:c>
      <x:c r="I18" s="2" t="n">
        <x:f>COUNTIF(Evidence_Master!$D$2:$D$200,H18)</x:f>
        <x:v>6</x:v>
      </x:c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24" t="str">
        <x:v>Parkinson validation</x:v>
      </x:c>
      <x:c r="B19" s="24" t="n">
        <x:v>4</x:v>
      </x:c>
      <x:c r="C19" s="24" t="n">
        <x:v>66</x:v>
      </x:c>
      <x:c r="D19" s="24" t="str">
        <x:v>External validation / total studies</x:v>
      </x:c>
      <x:c r="E19" s="24" t="str">
        <x:v>Translation bottleneck is validation, not headline accuracy</x:v>
      </x:c>
      <x:c r="F19" s="24" t="str">
        <x:v>E008</x:v>
      </x:c>
      <x:c r="G19" s="2"/>
      <x:c r="H19" s="2" t="str">
        <x:v>Sleep</x:v>
      </x:c>
      <x:c r="I19" s="2" t="n">
        <x:f>COUNTIF(Evidence_Master!$D$2:$D$200,H19)</x:f>
        <x:v>5</x:v>
      </x:c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24" t="str">
        <x:v>Epilepsy research objective</x:v>
      </x:c>
      <x:c r="B20" s="24" t="n">
        <x:v>54</x:v>
      </x:c>
      <x:c r="C20" s="24" t="n">
        <x:v>14</x:v>
      </x:c>
      <x:c r="D20" s="24" t="str">
        <x:v>Detection / prediction studies</x:v>
      </x:c>
      <x:c r="E20" s="24" t="str">
        <x:v>Forecasting lags detection</x:v>
      </x:c>
      <x:c r="F20" s="24" t="str">
        <x:v>E011</x:v>
      </x:c>
      <x:c r="G20" s="2"/>
      <x:c r="H20" s="2" t="str">
        <x:v>Mental health</x:v>
      </x:c>
      <x:c r="I20" s="2" t="n">
        <x:f>COUNTIF(Evidence_Master!$D$2:$D$200,H20)</x:f>
        <x:v>7</x:v>
      </x:c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24" t="str">
        <x:v>Depression wearable AI</x:v>
      </x:c>
      <x:c r="B21" s="24" t="n">
        <x:v>0.93</x:v>
      </x:c>
      <x:c r="C21" s="24" t="n">
        <x:v>0.65</x:v>
      </x:c>
      <x:c r="D21" s="24" t="str">
        <x:v>Detection specificity / episode-prediction specificity</x:v>
      </x:c>
      <x:c r="E21" s="24" t="str">
        <x:v>Prediction is materially harder than detection</x:v>
      </x:c>
      <x:c r="F21" s="24" t="str">
        <x:v>E019</x:v>
      </x:c>
      <x:c r="G21" s="2"/>
      <x:c r="H21" s="2" t="str">
        <x:v>Respiratory</x:v>
      </x:c>
      <x:c r="I21" s="2" t="n">
        <x:f>COUNTIF(Evidence_Master!$D$2:$D$200,H21)</x:f>
        <x:v>1</x:v>
      </x:c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4" t="str">
        <x:v>Digital twin maturity</x:v>
      </x:c>
      <x:c r="B22" s="24" t="n">
        <x:v>18</x:v>
      </x:c>
      <x:c r="C22" s="24" t="n">
        <x:v>149</x:v>
      </x:c>
      <x:c r="D22" s="24" t="str">
        <x:v>Meet NASEM criteria / reviewed</x:v>
      </x:c>
      <x:c r="E22" s="24" t="str">
        <x:v>Field terminology is ahead of validated implementation</x:v>
      </x:c>
      <x:c r="F22" s="24" t="str">
        <x:v>E032</x:v>
      </x:c>
      <x:c r="G22" s="2"/>
      <x:c r="H22" s="2" t="str">
        <x:v>Aging</x:v>
      </x:c>
      <x:c r="I22" s="2" t="n">
        <x:f>COUNTIF(Evidence_Master!$D$2:$D$200,H22)</x:f>
        <x:v>2</x:v>
      </x:c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4" t="str">
        <x:v>Frailty validation</x:v>
      </x:c>
      <x:c r="B23" s="24" t="n">
        <x:v>9</x:v>
      </x:c>
      <x:c r="C23" s="24" t="n">
        <x:v>45</x:v>
      </x:c>
      <x:c r="D23" s="24" t="str">
        <x:v>External / total models</x:v>
      </x:c>
      <x:c r="E23" s="24" t="str">
        <x:v>Most models remain internally validated</x:v>
      </x:c>
      <x:c r="F23" s="24" t="str">
        <x:v>E029</x:v>
      </x:c>
      <x:c r="G23" s="2"/>
      <x:c r="H23" s="2" t="str">
        <x:v>Frontier</x:v>
      </x:c>
      <x:c r="I23" s="2" t="n">
        <x:f>COUNTIF(Evidence_Master!$D$2:$D$200,H23)</x:f>
        <x:v>2</x:v>
      </x:c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4" t="str">
        <x:v>Sleep external validation</x:v>
      </x:c>
      <x:c r="B24" s="24" t="n">
        <x:v>112</x:v>
      </x:c>
      <x:c r="C24" s="24" t="n">
        <x:v>352</x:v>
      </x:c>
      <x:c r="D24" s="24" t="str">
        <x:v>External / total TipTraQ participants</x:v>
      </x:c>
      <x:c r="E24" s="24" t="str">
        <x:v>Shows a stronger device-validation design</x:v>
      </x:c>
      <x:c r="F24" s="24" t="str">
        <x:v>E017</x:v>
      </x:c>
      <x:c r="G24" s="2"/>
      <x:c r="H24" s="2" t="str">
        <x:v>Infrastructure</x:v>
      </x:c>
      <x:c r="I24" s="2" t="n">
        <x:f>COUNTIF(Evidence_Master!$D$2:$D$200,H24)</x:f>
        <x:v>2</x:v>
      </x:c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2"/>
      <x:c r="C25" s="2"/>
      <x:c r="D25" s="2"/>
      <x:c r="E25" s="2"/>
      <x:c r="F25" s="2"/>
      <x:c r="G25" s="2"/>
      <x:c r="H25" s="2" t="str">
        <x:v>Cross-condition</x:v>
      </x:c>
      <x:c r="I25" s="2" t="n">
        <x:f>COUNTIF(Evidence_Master!$D$2:$D$200,H25)</x:f>
        <x:v>2</x:v>
      </x:c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6" t="str">
        <x:v>Validation topic</x:v>
      </x:c>
      <x:c r="B28" s="6" t="str">
        <x:v>Rate</x:v>
      </x:c>
      <x:c r="C28" s="6" t="str">
        <x:v>Meaning</x:v>
      </x:c>
      <x:c r="D28" s="2"/>
      <x:c r="E28" s="2"/>
      <x:c r="F28" s="2"/>
      <x:c r="G28" s="2"/>
      <x:c r="H28" s="6" t="str">
        <x:v>FDA panel</x:v>
      </x:c>
      <x:c r="I28" s="6" t="str">
        <x:v>Decision count</x:v>
      </x:c>
      <x:c r="J28" s="2"/>
      <x:c r="K28" s="63" t="str">
        <x:v>Validation topic</x:v>
      </x:c>
      <x:c r="L28" s="63" t="str">
        <x:v>Percent</x:v>
      </x:c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 t="str">
        <x:v>Parkinson external validation</x:v>
      </x:c>
      <x:c r="B29" s="46" t="n">
        <x:f>4/66</x:f>
        <x:v>0.06060606060606061</x:v>
      </x:c>
      <x:c r="C29" s="2" t="str">
        <x:v>4/66 studies</x:v>
      </x:c>
      <x:c r="D29" s="2"/>
      <x:c r="E29" s="2"/>
      <x:c r="F29" s="2"/>
      <x:c r="G29" s="2"/>
      <x:c r="H29" s="2" t="str">
        <x:v>Cardiovascular</x:v>
      </x:c>
      <x:c r="I29" s="2" t="n">
        <x:f>COUNTIF(FDA_sDHT_2025_26!$F$2:$F$200,H29)</x:f>
        <x:v>29</x:v>
      </x:c>
      <x:c r="J29" s="2"/>
      <x:c r="K29" s="24" t="str">
        <x:v>Parkinson external validation</x:v>
      </x:c>
      <x:c r="L29" s="24" t="n">
        <x:v>6.1</x:v>
      </x:c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 t="str">
        <x:v>Frailty external validation</x:v>
      </x:c>
      <x:c r="B30" s="46" t="n">
        <x:f>9/45</x:f>
        <x:v>0.2</x:v>
      </x:c>
      <x:c r="C30" s="2" t="str">
        <x:v>9/45 models</x:v>
      </x:c>
      <x:c r="D30" s="2"/>
      <x:c r="E30" s="2"/>
      <x:c r="F30" s="2"/>
      <x:c r="G30" s="2"/>
      <x:c r="H30" s="2" t="str">
        <x:v>Neurology</x:v>
      </x:c>
      <x:c r="I30" s="2" t="n">
        <x:f>COUNTIF(FDA_sDHT_2025_26!$F$2:$F$200,H30)</x:f>
        <x:v>15</x:v>
      </x:c>
      <x:c r="J30" s="2"/>
      <x:c r="K30" s="24" t="str">
        <x:v>Frailty external validation</x:v>
      </x:c>
      <x:c r="L30" s="24" t="n">
        <x:v>20</x:v>
      </x:c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 t="str">
        <x:v>Digital-twin VVUQ</x:v>
      </x:c>
      <x:c r="B31" s="46" t="n">
        <x:f>2/149</x:f>
        <x:v>0.013422818791946308</x:v>
      </x:c>
      <x:c r="C31" s="2" t="str">
        <x:v>2/149 studies</x:v>
      </x:c>
      <x:c r="D31" s="2"/>
      <x:c r="E31" s="2"/>
      <x:c r="F31" s="2"/>
      <x:c r="G31" s="2"/>
      <x:c r="H31" s="2" t="str">
        <x:v>Anesthesiology</x:v>
      </x:c>
      <x:c r="I31" s="2" t="n">
        <x:f>COUNTIF(FDA_sDHT_2025_26!$F$2:$F$200,H31)</x:f>
        <x:v>11</x:v>
      </x:c>
      <x:c r="J31" s="2"/>
      <x:c r="K31" s="24" t="str">
        <x:v>Digital-twin VVUQ</x:v>
      </x:c>
      <x:c r="L31" s="24" t="n">
        <x:v>1.3</x:v>
      </x:c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 t="str">
        <x:v>Dementia predictive/longitudinal</x:v>
      </x:c>
      <x:c r="B32" s="46" t="n">
        <x:f>13/49</x:f>
        <x:v>0.2653061224489796</x:v>
      </x:c>
      <x:c r="C32" s="2" t="str">
        <x:v>13/49 studies</x:v>
      </x:c>
      <x:c r="D32" s="2"/>
      <x:c r="E32" s="2"/>
      <x:c r="F32" s="2"/>
      <x:c r="G32" s="2"/>
      <x:c r="H32" s="2" t="str">
        <x:v>Clinical Chemistry</x:v>
      </x:c>
      <x:c r="I32" s="2" t="n">
        <x:f>COUNTIF(FDA_sDHT_2025_26!$F$2:$F$200,H32)</x:f>
        <x:v>9</x:v>
      </x:c>
      <x:c r="J32" s="2"/>
      <x:c r="K32" s="24" t="str">
        <x:v>Dementia predictive/longitudinal</x:v>
      </x:c>
      <x:c r="L32" s="24" t="n">
        <x:v>26.5</x:v>
      </x:c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 t="str">
        <x:v>Epilepsy closed-source data</x:v>
      </x:c>
      <x:c r="B33" s="46" t="n">
        <x:f>44/67</x:f>
        <x:v>0.6567164179104478</x:v>
      </x:c>
      <x:c r="C33" s="2" t="str">
        <x:v>44/67 studies</x:v>
      </x:c>
      <x:c r="D33" s="2"/>
      <x:c r="E33" s="2"/>
      <x:c r="F33" s="2"/>
      <x:c r="G33" s="2"/>
      <x:c r="H33" s="2" t="str">
        <x:v>Dental</x:v>
      </x:c>
      <x:c r="I33" s="2" t="n">
        <x:f>COUNTIF(FDA_sDHT_2025_26!$F$2:$F$200,H33)</x:f>
        <x:v>1</x:v>
      </x:c>
      <x:c r="J33" s="2"/>
      <x:c r="K33" s="24" t="str">
        <x:v>Epilepsy closed-source data</x:v>
      </x:c>
      <x:c r="L33" s="24" t="n">
        <x:v>65.7</x:v>
      </x:c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 t="str">
        <x:v>TipTraQ independent validation share</x:v>
      </x:c>
      <x:c r="B34" s="46" t="n">
        <x:f>112/352</x:f>
        <x:v>0.3181818181818182</x:v>
      </x:c>
      <x:c r="C34" s="2" t="str">
        <x:v>112/352 participants</x:v>
      </x:c>
      <x:c r="D34" s="2"/>
      <x:c r="E34" s="2"/>
      <x:c r="F34" s="2"/>
      <x:c r="G34" s="2"/>
      <x:c r="H34" s="2" t="str">
        <x:v>Ear Nose &amp; Throat</x:v>
      </x:c>
      <x:c r="I34" s="2" t="n">
        <x:f>COUNTIF(FDA_sDHT_2025_26!$F$2:$F$200,H34)</x:f>
        <x:v>1</x:v>
      </x:c>
      <x:c r="J34" s="2"/>
      <x:c r="K34" s="24" t="str">
        <x:v>TipTraQ independent validation share</x:v>
      </x:c>
      <x:c r="L34" s="24" t="n">
        <x:v>31.8</x:v>
      </x:c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 t="str">
        <x:v>General Hospital</x:v>
      </x:c>
      <x:c r="I35" s="2" t="n">
        <x:f>COUNTIF(FDA_sDHT_2025_26!$F$2:$F$200,H35)</x:f>
        <x:v>1</x:v>
      </x:c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 t="str">
        <x:v>Ophthalmic</x:v>
      </x:c>
      <x:c r="I36" s="2" t="n">
        <x:f>COUNTIF(FDA_sDHT_2025_26!$F$2:$F$200,H36)</x:f>
        <x:v>1</x:v>
      </x:c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  <x:row r="25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</x:row>
    <x:row r="252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</x:row>
    <x:row r="253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</x:row>
    <x:row r="254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</x:row>
    <x:row r="255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</x:row>
    <x:row r="256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</x:row>
    <x:row r="257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</x:row>
    <x:row r="258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</x:row>
    <x:row r="259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</x:row>
    <x:row r="260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</x:row>
    <x:row r="26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</x:row>
    <x:row r="262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</x:row>
    <x:row r="263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</x:row>
    <x:row r="264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</x:row>
    <x:row r="265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</x:row>
    <x:row r="266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</x:row>
    <x:row r="267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</x:row>
    <x:row r="268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</x:row>
    <x:row r="269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</x:row>
    <x:row r="270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</x:row>
    <x:row r="27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</x:row>
    <x:row r="272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</x:row>
    <x:row r="273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</x:row>
    <x:row r="274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</x:row>
    <x:row r="275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</x:row>
    <x:row r="276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</x:row>
    <x:row r="277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</x:row>
    <x:row r="278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</x:row>
    <x:row r="279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</x:row>
    <x:row r="280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</x:row>
    <x:row r="28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</x:row>
    <x:row r="282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</x:row>
    <x:row r="283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</x:row>
    <x:row r="284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</x:row>
    <x:row r="285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</x:row>
    <x:row r="286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</x:row>
    <x:row r="287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</x:row>
    <x:row r="288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</x:row>
    <x:row r="289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</x:row>
    <x:row r="290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</x:row>
    <x:row r="29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</x:row>
    <x:row r="292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</x:row>
    <x:row r="293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</x:row>
    <x:row r="294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</x:row>
    <x:row r="295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</x:row>
    <x:row r="296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</x:row>
    <x:row r="297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</x:row>
    <x:row r="298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</x:row>
    <x:row r="299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</x:row>
    <x:row r="300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</x:row>
  </x:sheetData>
  <x:mergeCells>
    <x:mergeCell ref="A1:L1"/>
    <x:mergeCell ref="A4:C5"/>
    <x:mergeCell ref="A6:C7"/>
    <x:mergeCell ref="D4:F5"/>
    <x:mergeCell ref="D6:F7"/>
    <x:mergeCell ref="G4:I5"/>
    <x:mergeCell ref="G6:I7"/>
    <x:mergeCell ref="J4:L5"/>
    <x:mergeCell ref="J6:L7"/>
    <x:mergeCell ref="A9:C10"/>
    <x:mergeCell ref="A11:C12"/>
    <x:mergeCell ref="D9:F10"/>
    <x:mergeCell ref="D11:F12"/>
    <x:mergeCell ref="G9:I10"/>
    <x:mergeCell ref="G11:I12"/>
    <x:mergeCell ref="J9:L10"/>
    <x:mergeCell ref="J11:L12"/>
  </x:mergeCells>
  <x:pageMargins left="0.7" right="0.7" top="0.75" bottom="0.75" header="0.3" footer="0.3"/>
  <x:drawing xmlns:r="http://schemas.openxmlformats.org/officeDocument/2006/relationships" r:id="R4fc7269fe5b64e0a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2" hidden="0" customWidth="1"/>
    <x:col min="4" max="4" width="18" hidden="0" customWidth="1"/>
    <x:col min="5" max="5" width="18" hidden="0" customWidth="1"/>
    <x:col min="6" max="6" width="22" hidden="0" customWidth="1"/>
    <x:col min="7" max="7" width="22" hidden="0" customWidth="1"/>
    <x:col min="8" max="8" width="14" hidden="0" customWidth="1"/>
    <x:col min="9" max="9" width="14" hidden="0" customWidth="1"/>
    <x:col min="10" max="10" width="14" hidden="0" customWidth="1"/>
    <x:col min="11" max="11" width="24" hidden="0" customWidth="1"/>
    <x:col min="12" max="12" width="24" hidden="0" customWidth="1"/>
    <x:col min="13" max="13" width="24" hidden="0" customWidth="1"/>
    <x:col min="14" max="14" width="34" hidden="0" customWidth="1"/>
    <x:col min="15" max="15" width="34" hidden="0" customWidth="1"/>
    <x:col min="16" max="16" width="24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38" hidden="0" customWidth="1"/>
    <x:col min="23" max="23" width="26" hidden="0" customWidth="1"/>
    <x:col min="24" max="24" width="26" hidden="0" customWidth="1"/>
    <x:col min="25" max="25" width="26" hidden="0" customWidth="1"/>
  </x:cols>
  <x:sheetData>
    <x:row r="1" ht="34" customHeight="1">
      <x:c r="A1" s="8" t="str">
        <x:v>Evidence_ID</x:v>
      </x:c>
      <x:c r="B1" s="8" t="str">
        <x:v>Publication_Year</x:v>
      </x:c>
      <x:c r="C1" s="8" t="str">
        <x:v>Publication_Date</x:v>
      </x:c>
      <x:c r="D1" s="8" t="str">
        <x:v>Domain</x:v>
      </x:c>
      <x:c r="E1" s="8" t="str">
        <x:v>Condition</x:v>
      </x:c>
      <x:c r="F1" s="8" t="str">
        <x:v>Evidence_Layer</x:v>
      </x:c>
      <x:c r="G1" s="8" t="str">
        <x:v>Study_Design</x:v>
      </x:c>
      <x:c r="H1" s="8" t="str">
        <x:v>Scope_N</x:v>
      </x:c>
      <x:c r="I1" s="8" t="str">
        <x:v>Scope_Unit</x:v>
      </x:c>
      <x:c r="J1" s="8" t="str">
        <x:v>Included_Studies_or_Models</x:v>
      </x:c>
      <x:c r="K1" s="8" t="str">
        <x:v>Wearable_or_Data_Source</x:v>
      </x:c>
      <x:c r="L1" s="8" t="str">
        <x:v>Sensors_or_Modalities</x:v>
      </x:c>
      <x:c r="M1" s="8" t="str">
        <x:v>AI_or_Method</x:v>
      </x:c>
      <x:c r="N1" s="8" t="str">
        <x:v>Primary_Question</x:v>
      </x:c>
      <x:c r="O1" s="8" t="str">
        <x:v>Key_Result</x:v>
      </x:c>
      <x:c r="P1" s="8" t="str">
        <x:v>Underlying_Data_Window</x:v>
      </x:c>
      <x:c r="Q1" s="8" t="str">
        <x:v>Freshness_Flag</x:v>
      </x:c>
      <x:c r="R1" s="8" t="str">
        <x:v>External_Validation</x:v>
      </x:c>
      <x:c r="S1" s="8" t="str">
        <x:v>Prospective_or_Real_World</x:v>
      </x:c>
      <x:c r="T1" s="8" t="str">
        <x:v>Open_Data</x:v>
      </x:c>
      <x:c r="U1" s="8" t="str">
        <x:v>Evidence_Maturity</x:v>
      </x:c>
      <x:c r="V1" s="8" t="str">
        <x:v>Key_Limitation</x:v>
      </x:c>
      <x:c r="W1" s="8" t="str">
        <x:v>DOI</x:v>
      </x:c>
      <x:c r="X1" s="8" t="str">
        <x:v>PMID</x:v>
      </x:c>
      <x:c r="Y1" s="8" t="str">
        <x:v>Source_URL</x:v>
      </x:c>
      <x:c r="Z1" s="2"/>
    </x:row>
    <x:row r="2">
      <x:c r="A2" s="2" t="str">
        <x:v>E001</x:v>
      </x:c>
      <x:c r="B2" s="2" t="n">
        <x:v>2025</x:v>
      </x:c>
      <x:c r="C2" s="48" t="n">
        <x:v>45689</x:v>
      </x:c>
      <x:c r="D2" s="2" t="str">
        <x:v>Cardiovascular</x:v>
      </x:c>
      <x:c r="E2" s="2" t="str">
        <x:v>Atrial fibrillation</x:v>
      </x:c>
      <x:c r="F2" s="2" t="str">
        <x:v>Diagnostic performance</x:v>
      </x:c>
      <x:c r="G2" s="2" t="str">
        <x:v>Systematic review &amp; meta-analysis</x:v>
      </x:c>
      <x:c r="H2" s="2" t="n">
        <x:v>4241</x:v>
      </x:c>
      <x:c r="I2" s="2" t="str">
        <x:v>participants</x:v>
      </x:c>
      <x:c r="J2" s="2" t="n">
        <x:v>11</x:v>
      </x:c>
      <x:c r="K2" s="2" t="str">
        <x:v>Apple Watch single-lead ECG</x:v>
      </x:c>
      <x:c r="L2" s="2" t="str">
        <x:v>ECG</x:v>
      </x:c>
      <x:c r="M2" s="2" t="str">
        <x:v>Diagnostic meta-analysis</x:v>
      </x:c>
      <x:c r="N2" s="2" t="str">
        <x:v>Can Apple Watch ECG identify AF vs 12-lead ECG?</x:v>
      </x:c>
      <x:c r="O2" s="2" t="str">
        <x:v>Sensitivity 94.8%; specificity 95.0%; AUC 0.96; sensitivity I² 67%; specificity I² 88%</x:v>
      </x:c>
      <x:c r="P2" s="2" t="str">
        <x:v>Included studies searched through Apr 2024</x:v>
      </x:c>
      <x:c r="Q2" s="2" t="str">
        <x:v>Older/Mixed</x:v>
      </x:c>
      <x:c r="R2" s="2" t="str">
        <x:v>Mixed</x:v>
      </x:c>
      <x:c r="S2" s="2" t="str">
        <x:v>Mixed</x:v>
      </x:c>
      <x:c r="T2" s="2" t="str">
        <x:v>Mixed</x:v>
      </x:c>
      <x:c r="U2" s="2" t="str">
        <x:v>Strong</x:v>
      </x:c>
      <x:c r="V2" s="2" t="str">
        <x:v>Substantial heterogeneity; 7/11 studies high risk in patient selection / flow-timing.</x:v>
      </x:c>
      <x:c r="W2" s="2" t="str">
        <x:v>10.1016/j.jacadv.2024.101538</x:v>
      </x:c>
      <x:c r="X2" s="2" t="str">
        <x:v>39886315</x:v>
      </x:c>
      <x:c r="Y2" s="2" t="str">
        <x:v>https://pubmed.ncbi.nlm.nih.gov/39886315/</x:v>
      </x:c>
      <x:c r="Z2" s="2"/>
    </x:row>
    <x:row r="3">
      <x:c r="A3" s="2" t="str">
        <x:v>E002</x:v>
      </x:c>
      <x:c r="B3" s="2" t="n">
        <x:v>2025</x:v>
      </x:c>
      <x:c r="C3" s="48" t="n">
        <x:v>45964</x:v>
      </x:c>
      <x:c r="D3" s="2" t="str">
        <x:v>Cardiovascular</x:v>
      </x:c>
      <x:c r="E3" s="2" t="str">
        <x:v>Atrial fibrillation</x:v>
      </x:c>
      <x:c r="F3" s="2" t="str">
        <x:v>Diagnostic performance</x:v>
      </x:c>
      <x:c r="G3" s="2" t="str">
        <x:v>Systematic review &amp; diagnostic meta-analysis</x:v>
      </x:c>
      <x:c r="H3" s="2" t="n">
        <x:v>17349</x:v>
      </x:c>
      <x:c r="I3" s="2" t="str">
        <x:v>patients</x:v>
      </x:c>
      <x:c r="J3" s="2" t="n">
        <x:v>26</x:v>
      </x:c>
      <x:c r="K3" s="2" t="str">
        <x:v>Multiple smartwatches</x:v>
      </x:c>
      <x:c r="L3" s="2" t="str">
        <x:v>PPG and/or ECG</x:v>
      </x:c>
      <x:c r="M3" s="2" t="str">
        <x:v>Diagnostic meta-analysis</x:v>
      </x:c>
      <x:c r="N3" s="2" t="str">
        <x:v>How accurate are current smartwatches for AF?</x:v>
      </x:c>
      <x:c r="O3" s="2" t="str">
        <x:v>Overall sensitivity 95%; specificity 97%; AUC 0.97. Apple 94/97%; Samsung 97/96%; Withings 89/95%.</x:v>
      </x:c>
      <x:c r="P3" s="2" t="str">
        <x:v>Literature through Jan 2025</x:v>
      </x:c>
      <x:c r="Q3" s="2" t="str">
        <x:v>Older/Mixed</x:v>
      </x:c>
      <x:c r="R3" s="2" t="str">
        <x:v>Mixed</x:v>
      </x:c>
      <x:c r="S3" s="2" t="str">
        <x:v>Mixed</x:v>
      </x:c>
      <x:c r="T3" s="2" t="str">
        <x:v>Mixed</x:v>
      </x:c>
      <x:c r="U3" s="2" t="str">
        <x:v>Strong</x:v>
      </x:c>
      <x:c r="V3" s="2" t="str">
        <x:v>Very high heterogeneity: I² ~95% sensitivity and 99% specificity overall.</x:v>
      </x:c>
      <x:c r="W3" s="2" t="str">
        <x:v>10.1016/j.jacadv.2025.102133</x:v>
      </x:c>
      <x:c r="X3" s="2" t="str">
        <x:v>41182224</x:v>
      </x:c>
      <x:c r="Y3" s="2" t="str">
        <x:v>https://pubmed.ncbi.nlm.nih.gov/41182224/</x:v>
      </x:c>
      <x:c r="Z3" s="2"/>
    </x:row>
    <x:row r="4">
      <x:c r="A4" s="2" t="str">
        <x:v>E003</x:v>
      </x:c>
      <x:c r="B4" s="2" t="n">
        <x:v>2026</x:v>
      </x:c>
      <x:c r="C4" s="48" t="n">
        <x:v>46113</x:v>
      </x:c>
      <x:c r="D4" s="2" t="str">
        <x:v>Cardiovascular</x:v>
      </x:c>
      <x:c r="E4" s="2" t="str">
        <x:v>Atrial fibrillation</x:v>
      </x:c>
      <x:c r="F4" s="2" t="str">
        <x:v>Clinical pathway</x:v>
      </x:c>
      <x:c r="G4" s="2" t="str">
        <x:v>Prospective multicenter randomized controlled trial</x:v>
      </x:c>
      <x:c r="H4" s="2" t="n">
        <x:v>437</x:v>
      </x:c>
      <x:c r="I4" s="2" t="str">
        <x:v>participants</x:v>
      </x:c>
      <x:c r="J4" s="2" t="n">
        <x:v>1</x:v>
      </x:c>
      <x:c r="K4" s="2" t="str">
        <x:v>Apple Watch</x:v>
      </x:c>
      <x:c r="L4" s="2" t="str">
        <x:v>PPG + single-lead ECG</x:v>
      </x:c>
      <x:c r="M4" s="2" t="str">
        <x:v>Smartwatch screening pathway + remote ECG review</x:v>
      </x:c>
      <x:c r="N4" s="2" t="str">
        <x:v>Does a smartwatch pathway detect more new AF than standard care?</x:v>
      </x:c>
      <x:c r="O4" s="2" t="str">
        <x:v>New AF 9.6% (21/219) vs 2.3% (5/218); risk difference +7.3 pp; HR 4.40.</x:v>
      </x:c>
      <x:c r="P4" s="2" t="str">
        <x:v>Recruitment Nov 2022-Dec 2023</x:v>
      </x:c>
      <x:c r="Q4" s="2" t="str">
        <x:v>Older</x:v>
      </x:c>
      <x:c r="R4" s="2" t="str">
        <x:v>Not applicable</x:v>
      </x:c>
      <x:c r="S4" s="2" t="str">
        <x:v>Yes</x:v>
      </x:c>
      <x:c r="T4" s="2" t="str">
        <x:v>No</x:v>
      </x:c>
      <x:c r="U4" s="2" t="str">
        <x:v>Strong</x:v>
      </x:c>
      <x:c r="V4" s="2" t="str">
        <x:v>High-risk adults ≥65; does not prove fewer strokes or lower mortality.</x:v>
      </x:c>
      <x:c r="W4" s="2" t="str">
        <x:v>10.1016/j.jacc.2025.11.032</x:v>
      </x:c>
      <x:c r="X4" s="2" t="str">
        <x:v>41569211</x:v>
      </x:c>
      <x:c r="Y4" s="2" t="str">
        <x:v>https://pubmed.ncbi.nlm.nih.gov/41569211/</x:v>
      </x:c>
      <x:c r="Z4" s="2"/>
    </x:row>
    <x:row r="5">
      <x:c r="A5" s="2" t="str">
        <x:v>E004</x:v>
      </x:c>
      <x:c r="B5" s="2" t="n">
        <x:v>2025</x:v>
      </x:c>
      <x:c r="C5" s="48"/>
      <x:c r="D5" s="2" t="str">
        <x:v>Metabolic</x:v>
      </x:c>
      <x:c r="E5" s="2" t="str">
        <x:v>Type 2 diabetes / glucose forecasting</x:v>
      </x:c>
      <x:c r="F5" s="2" t="str">
        <x:v>Prediction performance</x:v>
      </x:c>
      <x:c r="G5" s="2" t="str">
        <x:v>Systematic review &amp; meta-analysis</x:v>
      </x:c>
      <x:c r="H5" s="2" t="n">
        <x:v>10</x:v>
      </x:c>
      <x:c r="I5" s="2" t="str">
        <x:v>studies</x:v>
      </x:c>
      <x:c r="J5" s="2" t="n">
        <x:v>10</x:v>
      </x:c>
      <x:c r="K5" s="2" t="str">
        <x:v>Continuous glucose monitoring / IoT</x:v>
      </x:c>
      <x:c r="L5" s="2" t="str">
        <x:v>Interstitial glucose</x:v>
      </x:c>
      <x:c r="M5" s="2" t="str">
        <x:v>ML models; RF strongest relatively</x:v>
      </x:c>
      <x:c r="N5" s="2" t="str">
        <x:v>How does glucose forecast error change with horizon?</x:v>
      </x:c>
      <x:c r="O5" s="2" t="str">
        <x:v>Mean RMSE 15.02, 21.488, 30.094, 35.89 mg/dL at 15, 30, 45, 60 min.</x:v>
      </x:c>
      <x:c r="P5" s="2" t="str">
        <x:v>Included studies published 2019-2023</x:v>
      </x:c>
      <x:c r="Q5" s="2" t="str">
        <x:v>Older</x:v>
      </x:c>
      <x:c r="R5" s="2" t="str">
        <x:v>Limited</x:v>
      </x:c>
      <x:c r="S5" s="2" t="str">
        <x:v>Mixed</x:v>
      </x:c>
      <x:c r="T5" s="2" t="str">
        <x:v>Mixed</x:v>
      </x:c>
      <x:c r="U5" s="2" t="str">
        <x:v>Moderate</x:v>
      </x:c>
      <x:c r="V5" s="2" t="str">
        <x:v>Significant heterogeneity; cannot rank one algorithm as universally best.</x:v>
      </x:c>
      <x:c r="W5" s="2" t="str">
        <x:v>10.3233/THC-241403</x:v>
      </x:c>
      <x:c r="X5" s="2" t="str">
        <x:v>39269871</x:v>
      </x:c>
      <x:c r="Y5" s="2" t="str">
        <x:v>https://pubmed.ncbi.nlm.nih.gov/39269871/</x:v>
      </x:c>
      <x:c r="Z5" s="2"/>
    </x:row>
    <x:row r="6">
      <x:c r="A6" s="2" t="str">
        <x:v>E005</x:v>
      </x:c>
      <x:c r="B6" s="2" t="n">
        <x:v>2026</x:v>
      </x:c>
      <x:c r="C6" s="48" t="n">
        <x:v>46082</x:v>
      </x:c>
      <x:c r="D6" s="2" t="str">
        <x:v>Metabolic</x:v>
      </x:c>
      <x:c r="E6" s="2" t="str">
        <x:v>Type 2 diabetes</x:v>
      </x:c>
      <x:c r="F6" s="2" t="str">
        <x:v>Clinical outcomes</x:v>
      </x:c>
      <x:c r="G6" s="2" t="str">
        <x:v>Meta-analysis of randomized controlled trials</x:v>
      </x:c>
      <x:c r="H6" s="2" t="n">
        <x:v>3133</x:v>
      </x:c>
      <x:c r="I6" s="2" t="str">
        <x:v>participants</x:v>
      </x:c>
      <x:c r="J6" s="2" t="n">
        <x:v>30</x:v>
      </x:c>
      <x:c r="K6" s="2" t="str">
        <x:v>rtCGM / isCGM</x:v>
      </x:c>
      <x:c r="L6" s="2" t="str">
        <x:v>Interstitial glucose</x:v>
      </x:c>
      <x:c r="M6" s="2" t="str">
        <x:v>Random-effects meta-analysis</x:v>
      </x:c>
      <x:c r="N6" s="2" t="str">
        <x:v>Does patient-accessible CGM improve cardiometabolic outcomes?</x:v>
      </x:c>
      <x:c r="O6" s="2" t="str">
        <x:v>HbA1c -0.48%; TIR +10.76%; mean glucose -14.72 mg/dL; weight -3.26 kg; TG -32.17 mg/dL; SBP -3.47 mmHg; no significant MACE/hypoglycemia difference.</x:v>
      </x:c>
      <x:c r="P6" s="2" t="str">
        <x:v>Search through Apr 2025; trials from multiple earlier years</x:v>
      </x:c>
      <x:c r="Q6" s="2" t="str">
        <x:v>Older/Mixed</x:v>
      </x:c>
      <x:c r="R6" s="2" t="str">
        <x:v>Not applicable</x:v>
      </x:c>
      <x:c r="S6" s="2" t="str">
        <x:v>RCT evidence</x:v>
      </x:c>
      <x:c r="T6" s="2" t="str">
        <x:v>Mixed</x:v>
      </x:c>
      <x:c r="U6" s="2" t="str">
        <x:v>Strong</x:v>
      </x:c>
      <x:c r="V6" s="2" t="str">
        <x:v>Underlying trials span multiple years; cardiometabolic endpoints often secondary.</x:v>
      </x:c>
      <x:c r="W6" s="2" t="str">
        <x:v>10.1016/j.disamonth.2025.102043</x:v>
      </x:c>
      <x:c r="X6" s="2" t="str">
        <x:v>41309353</x:v>
      </x:c>
      <x:c r="Y6" s="2" t="str">
        <x:v>https://pubmed.ncbi.nlm.nih.gov/41309353/</x:v>
      </x:c>
      <x:c r="Z6" s="2"/>
    </x:row>
    <x:row r="7">
      <x:c r="A7" s="2" t="str">
        <x:v>E006</x:v>
      </x:c>
      <x:c r="B7" s="2" t="n">
        <x:v>2025</x:v>
      </x:c>
      <x:c r="C7" s="48" t="n">
        <x:v>45948</x:v>
      </x:c>
      <x:c r="D7" s="2" t="str">
        <x:v>Metabolic</x:v>
      </x:c>
      <x:c r="E7" s="2" t="str">
        <x:v>Type 2 diabetes</x:v>
      </x:c>
      <x:c r="F7" s="2" t="str">
        <x:v>Clinical outcomes</x:v>
      </x:c>
      <x:c r="G7" s="2" t="str">
        <x:v>Systematic review &amp; meta-analysis of RCTs</x:v>
      </x:c>
      <x:c r="H7" s="2" t="n">
        <x:v>2734</x:v>
      </x:c>
      <x:c r="I7" s="2" t="str">
        <x:v>participants</x:v>
      </x:c>
      <x:c r="J7" s="2" t="n">
        <x:v>21</x:v>
      </x:c>
      <x:c r="K7" s="2" t="str">
        <x:v>CGM + education / feedback</x:v>
      </x:c>
      <x:c r="L7" s="2" t="str">
        <x:v>Interstitial glucose + lifestyle feedback</x:v>
      </x:c>
      <x:c r="M7" s="2" t="str">
        <x:v>Random-effects meta-analysis</x:v>
      </x:c>
      <x:c r="N7" s="2" t="str">
        <x:v>Can CGM-guided lifestyle/nutrition improve outcomes?</x:v>
      </x:c>
      <x:c r="O7" s="2" t="str">
        <x:v>HbA1c -0.46%; TIR +7.18%; TAR -7.32%; fasting glucose -7.86 mg/dL; weight -2.06 kg.</x:v>
      </x:c>
      <x:c r="P7" s="2" t="str">
        <x:v>Search through Jun 6, 2025</x:v>
      </x:c>
      <x:c r="Q7" s="2" t="str">
        <x:v>Older/Mixed</x:v>
      </x:c>
      <x:c r="R7" s="2" t="str">
        <x:v>Not applicable</x:v>
      </x:c>
      <x:c r="S7" s="2" t="str">
        <x:v>RCT evidence</x:v>
      </x:c>
      <x:c r="T7" s="2" t="str">
        <x:v>Mixed</x:v>
      </x:c>
      <x:c r="U7" s="2" t="str">
        <x:v>Strong</x:v>
      </x:c>
      <x:c r="V7" s="2" t="str">
        <x:v>Effect reflects CGM plus feedback/education, not the sensor alone.</x:v>
      </x:c>
      <x:c r="W7" s="2" t="str">
        <x:v>10.1177/19322968251384318</x:v>
      </x:c>
      <x:c r="X7" s="2" t="str">
        <x:v>41109846</x:v>
      </x:c>
      <x:c r="Y7" s="2" t="str">
        <x:v>https://pubmed.ncbi.nlm.nih.gov/41109846/</x:v>
      </x:c>
      <x:c r="Z7" s="2"/>
    </x:row>
    <x:row r="8">
      <x:c r="A8" s="2" t="str">
        <x:v>E007</x:v>
      </x:c>
      <x:c r="B8" s="2" t="n">
        <x:v>2025</x:v>
      </x:c>
      <x:c r="C8" s="48"/>
      <x:c r="D8" s="2" t="str">
        <x:v>Metabolic</x:v>
      </x:c>
      <x:c r="E8" s="2" t="str">
        <x:v>Type 2 diabetes</x:v>
      </x:c>
      <x:c r="F8" s="2" t="str">
        <x:v>Clinical intervention</x:v>
      </x:c>
      <x:c r="G8" s="2" t="str">
        <x:v>Prospective randomized four-center study</x:v>
      </x:c>
      <x:c r="H8" s="2" t="n">
        <x:v>72</x:v>
      </x:c>
      <x:c r="I8" s="2" t="str">
        <x:v>participants</x:v>
      </x:c>
      <x:c r="J8" s="2" t="n">
        <x:v>1</x:v>
      </x:c>
      <x:c r="K8" s="2" t="str">
        <x:v>CGM ± food logging app</x:v>
      </x:c>
      <x:c r="L8" s="2" t="str">
        <x:v>Interstitial glucose + food logs</x:v>
      </x:c>
      <x:c r="M8" s="2" t="str">
        <x:v>Behavior-guided CGM intervention</x:v>
      </x:c>
      <x:c r="N8" s="2" t="str">
        <x:v>Can CGM improve hyperglycemia without insulin therapy?</x:v>
      </x:c>
      <x:c r="O8" s="2" t="str">
        <x:v>TAR &gt;180 mg/dL fell ~55%→27% at 3 mo (CGM alone); overall TIR 46%→71% at 3 mo; HbA1c -1.3%; weight -7 lb at 6 mo.</x:v>
      </x:c>
      <x:c r="P8" s="2" t="str">
        <x:v>Study period not stated in abstract</x:v>
      </x:c>
      <x:c r="Q8" s="2" t="str">
        <x:v>Unknown</x:v>
      </x:c>
      <x:c r="R8" s="2" t="str">
        <x:v>Not applicable</x:v>
      </x:c>
      <x:c r="S8" s="2" t="str">
        <x:v>Yes</x:v>
      </x:c>
      <x:c r="T8" s="2" t="str">
        <x:v>No</x:v>
      </x:c>
      <x:c r="U8" s="2" t="str">
        <x:v>Moderate</x:v>
      </x:c>
      <x:c r="V8" s="2" t="str">
        <x:v>Small study; both arms used CGM, so no non-CGM control.</x:v>
      </x:c>
      <x:c r="W8" s="2" t="str">
        <x:v>10.1089/dia.2024.0579</x:v>
      </x:c>
      <x:c r="X8" s="2" t="str">
        <x:v>39757879</x:v>
      </x:c>
      <x:c r="Y8" s="2" t="str">
        <x:v>https://pubmed.ncbi.nlm.nih.gov/39757879/</x:v>
      </x:c>
      <x:c r="Z8" s="2"/>
    </x:row>
    <x:row r="9">
      <x:c r="A9" s="2" t="str">
        <x:v>E008</x:v>
      </x:c>
      <x:c r="B9" s="2" t="n">
        <x:v>2026</x:v>
      </x:c>
      <x:c r="C9" s="48" t="n">
        <x:v>46079</x:v>
      </x:c>
      <x:c r="D9" s="2" t="str">
        <x:v>Neurology</x:v>
      </x:c>
      <x:c r="E9" s="2" t="str">
        <x:v>Parkinson disease</x:v>
      </x:c>
      <x:c r="F9" s="2" t="str">
        <x:v>Translation readiness</x:v>
      </x:c>
      <x:c r="G9" s="2" t="str">
        <x:v>Scoping review</x:v>
      </x:c>
      <x:c r="H9" s="2" t="n">
        <x:v>3579</x:v>
      </x:c>
      <x:c r="I9" s="2" t="str">
        <x:v>approx participants</x:v>
      </x:c>
      <x:c r="J9" s="2" t="n">
        <x:v>66</x:v>
      </x:c>
      <x:c r="K9" s="2" t="str">
        <x:v>Body-worn wearables</x:v>
      </x:c>
      <x:c r="L9" s="2" t="str">
        <x:v>Accelerometer most frequent; multisensor</x:v>
      </x:c>
      <x:c r="M9" s="2" t="str">
        <x:v>ML/DL across monitoring and rehabilitation</x:v>
      </x:c>
      <x:c r="N9" s="2" t="str">
        <x:v>How mature is AI-enabled wearable PD research?</x:v>
      </x:c>
      <x:c r="O9" s="2" t="str">
        <x:v>66 studies; mostly short-term lab/clinical sessions; external validation rare; calibration/threshold reporting limited.</x:v>
      </x:c>
      <x:c r="P9" s="2" t="str">
        <x:v>Studies 2020-2025; search through Dec 2025</x:v>
      </x:c>
      <x:c r="Q9" s="2" t="str">
        <x:v>Mixed</x:v>
      </x:c>
      <x:c r="R9" s="2" t="str">
        <x:v>Rare</x:v>
      </x:c>
      <x:c r="S9" s="2" t="str">
        <x:v>Mostly short-term</x:v>
      </x:c>
      <x:c r="T9" s="2" t="str">
        <x:v>Mixed</x:v>
      </x:c>
      <x:c r="U9" s="2" t="str">
        <x:v>Moderate</x:v>
      </x:c>
      <x:c r="V9" s="2" t="str">
        <x:v>Internal cross-validation dominates; limited workflow integration.</x:v>
      </x:c>
      <x:c r="W9" s="2" t="str">
        <x:v>10.2196/85596</x:v>
      </x:c>
      <x:c r="X9" s="2" t="str">
        <x:v>41746703</x:v>
      </x:c>
      <x:c r="Y9" s="2" t="str">
        <x:v>https://pubmed.ncbi.nlm.nih.gov/41746703/</x:v>
      </x:c>
      <x:c r="Z9" s="2"/>
    </x:row>
    <x:row r="10">
      <x:c r="A10" s="2" t="str">
        <x:v>E009</x:v>
      </x:c>
      <x:c r="B10" s="2" t="n">
        <x:v>2025</x:v>
      </x:c>
      <x:c r="C10" s="48"/>
      <x:c r="D10" s="2" t="str">
        <x:v>Neurology</x:v>
      </x:c>
      <x:c r="E10" s="2" t="str">
        <x:v>Parkinson disease</x:v>
      </x:c>
      <x:c r="F10" s="2" t="str">
        <x:v>Proof of concept</x:v>
      </x:c>
      <x:c r="G10" s="2" t="str">
        <x:v>Original proof-of-concept study</x:v>
      </x:c>
      <x:c r="H10" s="2" t="n">
        <x:v>9</x:v>
      </x:c>
      <x:c r="I10" s="2" t="str">
        <x:v>participants</x:v>
      </x:c>
      <x:c r="J10" s="2" t="n">
        <x:v>1</x:v>
      </x:c>
      <x:c r="K10" s="2" t="str">
        <x:v>Wearable motion sensor platform</x:v>
      </x:c>
      <x:c r="L10" s="2" t="str">
        <x:v>Inertial / movement</x:v>
      </x:c>
      <x:c r="M10" s="2" t="str">
        <x:v>AI classifier</x:v>
      </x:c>
      <x:c r="N10" s="2" t="str">
        <x:v>Can wearable signals classify Parkinsonian movement?</x:v>
      </x:c>
      <x:c r="O10" s="2" t="str">
        <x:v>Reported validation accuracy 100%.</x:v>
      </x:c>
      <x:c r="P10" s="2" t="str">
        <x:v>Not stated in abstract</x:v>
      </x:c>
      <x:c r="Q10" s="2" t="str">
        <x:v>Unknown</x:v>
      </x:c>
      <x:c r="R10" s="2" t="str">
        <x:v>No</x:v>
      </x:c>
      <x:c r="S10" s="2" t="str">
        <x:v>Controlled setting</x:v>
      </x:c>
      <x:c r="T10" s="2" t="str">
        <x:v>No</x:v>
      </x:c>
      <x:c r="U10" s="2" t="str">
        <x:v>Early</x:v>
      </x:c>
      <x:c r="V10" s="2" t="str">
        <x:v>Nine participants; 100% validation accuracy should not be generalized.</x:v>
      </x:c>
      <x:c r="W10" s="2" t="str">
        <x:v>10.3390/jcm14124207</x:v>
      </x:c>
      <x:c r="X10" s="2" t="str">
        <x:v>40565952</x:v>
      </x:c>
      <x:c r="Y10" s="2" t="str">
        <x:v>https://pubmed.ncbi.nlm.nih.gov/40565952/</x:v>
      </x:c>
      <x:c r="Z10" s="2"/>
    </x:row>
    <x:row r="11">
      <x:c r="A11" s="2" t="str">
        <x:v>E010</x:v>
      </x:c>
      <x:c r="B11" s="2" t="n">
        <x:v>2026</x:v>
      </x:c>
      <x:c r="C11" s="48" t="n">
        <x:v>46076</x:v>
      </x:c>
      <x:c r="D11" s="2" t="str">
        <x:v>Neurology</x:v>
      </x:c>
      <x:c r="E11" s="2" t="str">
        <x:v>Cognitive impairment / dementia</x:v>
      </x:c>
      <x:c r="F11" s="2" t="str">
        <x:v>Early detection evidence</x:v>
      </x:c>
      <x:c r="G11" s="2" t="str">
        <x:v>Systematic review</x:v>
      </x:c>
      <x:c r="H11" s="2" t="n">
        <x:v>200000</x:v>
      </x:c>
      <x:c r="I11" s="2" t="str">
        <x:v>participants overall (reported &gt;200k)</x:v>
      </x:c>
      <x:c r="J11" s="2" t="n">
        <x:v>49</x:v>
      </x:c>
      <x:c r="K11" s="2" t="str">
        <x:v>Wearables / actigraphy</x:v>
      </x:c>
      <x:c r="L11" s="2" t="str">
        <x:v>Activity, sleep, circadian signals</x:v>
      </x:c>
      <x:c r="M11" s="2" t="str">
        <x:v>Statistical, ML, DL</x:v>
      </x:c>
      <x:c r="N11" s="2" t="str">
        <x:v>What wearable-derived signals support early cognitive-risk prediction?</x:v>
      </x:c>
      <x:c r="O11" s="2" t="str">
        <x:v>36 statistical; 7 ML; 6 DL studies. ML/DL AUC ~0.70-0.95. 13/49 predictive or longitudinal.</x:v>
      </x:c>
      <x:c r="P11" s="2" t="str">
        <x:v>Studies Jan 2020-Dec 1 2025</x:v>
      </x:c>
      <x:c r="Q11" s="2" t="str">
        <x:v>Mixed</x:v>
      </x:c>
      <x:c r="R11" s="2" t="str">
        <x:v>Limited</x:v>
      </x:c>
      <x:c r="S11" s="2" t="str">
        <x:v>24/49 longitudinal cohorts</x:v>
      </x:c>
      <x:c r="T11" s="2" t="str">
        <x:v>Mixed</x:v>
      </x:c>
      <x:c r="U11" s="2" t="str">
        <x:v>Moderate</x:v>
      </x:c>
      <x:c r="V11" s="2" t="str">
        <x:v>Heterogeneous methods; small samples in many studies; limited external validation.</x:v>
      </x:c>
      <x:c r="W11" s="2" t="str">
        <x:v>10.2196/86262</x:v>
      </x:c>
      <x:c r="X11" s="2" t="str">
        <x:v>41730193</x:v>
      </x:c>
      <x:c r="Y11" s="2" t="str">
        <x:v>https://pubmed.ncbi.nlm.nih.gov/41730193/</x:v>
      </x:c>
      <x:c r="Z11" s="2"/>
    </x:row>
    <x:row r="12">
      <x:c r="A12" s="2" t="str">
        <x:v>E011</x:v>
      </x:c>
      <x:c r="B12" s="2" t="n">
        <x:v>2025</x:v>
      </x:c>
      <x:c r="C12" s="48"/>
      <x:c r="D12" s="2" t="str">
        <x:v>Neurology</x:v>
      </x:c>
      <x:c r="E12" s="2" t="str">
        <x:v>Epilepsy</x:v>
      </x:c>
      <x:c r="F12" s="2" t="str">
        <x:v>Wearable evidence map</x:v>
      </x:c>
      <x:c r="G12" s="2" t="str">
        <x:v>Scoping review</x:v>
      </x:c>
      <x:c r="H12" s="2" t="n">
        <x:v>67</x:v>
      </x:c>
      <x:c r="I12" s="2" t="str">
        <x:v>studies</x:v>
      </x:c>
      <x:c r="J12" s="2" t="n">
        <x:v>67</x:v>
      </x:c>
      <x:c r="K12" s="2" t="str">
        <x:v>Commercial and noncommercial wearables</x:v>
      </x:c>
      <x:c r="L12" s="2" t="str">
        <x:v>Activity, cardiovascular, brain activity, skin conductance</x:v>
      </x:c>
      <x:c r="M12" s="2" t="str">
        <x:v>SVM, RF, CNN most common</x:v>
      </x:c>
      <x:c r="N12" s="2" t="str">
        <x:v>What does wearable AI focus on in epilepsy?</x:v>
      </x:c>
      <x:c r="O12" s="2" t="str">
        <x:v>Detection 54/67 (80.6%) vs prediction 14/67 (20.9%); closed-source data 44/67 (65.7%); sensitivity most reported.</x:v>
      </x:c>
      <x:c r="P12" s="2" t="str">
        <x:v>Recent field synthesis; individual study years mixed</x:v>
      </x:c>
      <x:c r="Q12" s="2" t="str">
        <x:v>Mixed</x:v>
      </x:c>
      <x:c r="R12" s="2" t="str">
        <x:v>Limited</x:v>
      </x:c>
      <x:c r="S12" s="2" t="str">
        <x:v>Mixed</x:v>
      </x:c>
      <x:c r="T12" s="2" t="str">
        <x:v>Mostly closed</x:v>
      </x:c>
      <x:c r="U12" s="2" t="str">
        <x:v>Moderate</x:v>
      </x:c>
      <x:c r="V12" s="2" t="str">
        <x:v>Prediction lags detection; closed data and internal validation reduce reproducibility.</x:v>
      </x:c>
      <x:c r="W12" s="2" t="str">
        <x:v>10.2196/68717</x:v>
      </x:c>
      <x:c r="X12" s="2" t="str">
        <x:v>41172347</x:v>
      </x:c>
      <x:c r="Y12" s="2" t="str">
        <x:v>https://pubmed.ncbi.nlm.nih.gov/41172347/</x:v>
      </x:c>
      <x:c r="Z12" s="2"/>
    </x:row>
    <x:row r="13">
      <x:c r="A13" s="2" t="str">
        <x:v>E012</x:v>
      </x:c>
      <x:c r="B13" s="2" t="n">
        <x:v>2025</x:v>
      </x:c>
      <x:c r="C13" s="48"/>
      <x:c r="D13" s="2" t="str">
        <x:v>Neurology</x:v>
      </x:c>
      <x:c r="E13" s="2" t="str">
        <x:v>Epilepsy</x:v>
      </x:c>
      <x:c r="F13" s="2" t="str">
        <x:v>Diagnostic performance</x:v>
      </x:c>
      <x:c r="G13" s="2" t="str">
        <x:v>Systematic review &amp; meta-analysis</x:v>
      </x:c>
      <x:c r="H13" s="2" t="n">
        <x:v>60</x:v>
      </x:c>
      <x:c r="I13" s="2" t="str">
        <x:v>studies</x:v>
      </x:c>
      <x:c r="J13" s="2" t="n">
        <x:v>93</x:v>
      </x:c>
      <x:c r="K13" s="2" t="str">
        <x:v>EEG datasets</x:v>
      </x:c>
      <x:c r="L13" s="2" t="str">
        <x:v>EEG</x:v>
      </x:c>
      <x:c r="M13" s="2" t="str">
        <x:v>Traditional ML + deep learning</x:v>
      </x:c>
      <x:c r="N13" s="2" t="str">
        <x:v>How accurately can ML detect epileptic seizures from EEG?</x:v>
      </x:c>
      <x:c r="O13" s="2" t="str">
        <x:v>Pooled sensitivity 0.96; specificity 0.97; AUC 0.99.</x:v>
      </x:c>
      <x:c r="P13" s="2" t="str">
        <x:v>Search through Apr 2025</x:v>
      </x:c>
      <x:c r="Q13" s="2" t="str">
        <x:v>Older/Mixed</x:v>
      </x:c>
      <x:c r="R13" s="2" t="str">
        <x:v>Limited</x:v>
      </x:c>
      <x:c r="S13" s="2" t="str">
        <x:v>Mostly retrospective</x:v>
      </x:c>
      <x:c r="T13" s="2" t="str">
        <x:v>Mixed</x:v>
      </x:c>
      <x:c r="U13" s="2" t="str">
        <x:v>Strong technical / Moderate clinical</x:v>
      </x:c>
      <x:c r="V13" s="2" t="str">
        <x:v>Dataset/model/preprocessing differences contributed to heterogeneity; multicenter validation needed.</x:v>
      </x:c>
      <x:c r="W13" s="2" t="str">
        <x:v>10.3390/diagnostics15121496</x:v>
      </x:c>
      <x:c r="X13" s="2" t="str">
        <x:v>40563805</x:v>
      </x:c>
      <x:c r="Y13" s="2" t="str">
        <x:v>https://pubmed.ncbi.nlm.nih.gov/40563805/</x:v>
      </x:c>
      <x:c r="Z13" s="2"/>
    </x:row>
    <x:row r="14">
      <x:c r="A14" s="2" t="str">
        <x:v>E013</x:v>
      </x:c>
      <x:c r="B14" s="2" t="n">
        <x:v>2026</x:v>
      </x:c>
      <x:c r="C14" s="48"/>
      <x:c r="D14" s="2" t="str">
        <x:v>Neurology</x:v>
      </x:c>
      <x:c r="E14" s="2" t="str">
        <x:v>Epilepsy</x:v>
      </x:c>
      <x:c r="F14" s="2" t="str">
        <x:v>Wearable evidence synthesis</x:v>
      </x:c>
      <x:c r="G14" s="2" t="str">
        <x:v>Targeted review</x:v>
      </x:c>
      <x:c r="H14" s="2" t="n">
        <x:v>23</x:v>
      </x:c>
      <x:c r="I14" s="2" t="str">
        <x:v>studies</x:v>
      </x:c>
      <x:c r="J14" s="2" t="n">
        <x:v>23</x:v>
      </x:c>
      <x:c r="K14" s="2" t="str">
        <x:v>Wrist- and ear-based wearables</x:v>
      </x:c>
      <x:c r="L14" s="2" t="str">
        <x:v>Multimodal physiological signals</x:v>
      </x:c>
      <x:c r="M14" s="2" t="str">
        <x:v>AI algorithms for detection/prediction</x:v>
      </x:c>
      <x:c r="N14" s="2" t="str">
        <x:v>What is the state of wearable seizure detection?</x:v>
      </x:c>
      <x:c r="O14" s="2" t="str">
        <x:v>High sensitivity reported across wrist/ear systems; newer work includes prediction; false alarms remain a central challenge.</x:v>
      </x:c>
      <x:c r="P14" s="2" t="str">
        <x:v>Recent studies, mixed years</x:v>
      </x:c>
      <x:c r="Q14" s="2" t="str">
        <x:v>Mixed</x:v>
      </x:c>
      <x:c r="R14" s="2" t="str">
        <x:v>Limited</x:v>
      </x:c>
      <x:c r="S14" s="2" t="str">
        <x:v>Real-world focus increasing</x:v>
      </x:c>
      <x:c r="T14" s="2" t="str">
        <x:v>Mixed</x:v>
      </x:c>
      <x:c r="U14" s="2" t="str">
        <x:v>Moderate</x:v>
      </x:c>
      <x:c r="V14" s="2" t="str">
        <x:v>False alarms, signal integrity and population diversity remain key barriers.</x:v>
      </x:c>
      <x:c r="W14" s="2" t="str"/>
      <x:c r="X14" s="2" t="str">
        <x:v>41878197</x:v>
      </x:c>
      <x:c r="Y14" s="2" t="str">
        <x:v>https://pubmed.ncbi.nlm.nih.gov/41878197/</x:v>
      </x:c>
      <x:c r="Z14" s="2"/>
    </x:row>
    <x:row r="15">
      <x:c r="A15" s="2" t="str">
        <x:v>E014</x:v>
      </x:c>
      <x:c r="B15" s="2" t="n">
        <x:v>2025</x:v>
      </x:c>
      <x:c r="C15" s="48" t="n">
        <x:v>45796</x:v>
      </x:c>
      <x:c r="D15" s="2" t="str">
        <x:v>Sleep</x:v>
      </x:c>
      <x:c r="E15" s="2" t="str">
        <x:v>Sleep apnea</x:v>
      </x:c>
      <x:c r="F15" s="2" t="str">
        <x:v>Wearable evidence map</x:v>
      </x:c>
      <x:c r="G15" s="2" t="str">
        <x:v>Systematic review</x:v>
      </x:c>
      <x:c r="H15" s="2" t="n">
        <x:v>28</x:v>
      </x:c>
      <x:c r="I15" s="2" t="str">
        <x:v>studies</x:v>
      </x:c>
      <x:c r="J15" s="2" t="n">
        <x:v>28</x:v>
      </x:c>
      <x:c r="K15" s="2" t="str">
        <x:v>Patches, watches, rings</x:v>
      </x:c>
      <x:c r="L15" s="2" t="str">
        <x:v>Mixed sleep sensors</x:v>
      </x:c>
      <x:c r="M15" s="2" t="str">
        <x:v>CNN / transfer learning increasingly common</x:v>
      </x:c>
      <x:c r="N15" s="2" t="str">
        <x:v>Which wearable+AI approaches are used for sleep apnea?</x:v>
      </x:c>
      <x:c r="O15" s="2" t="str">
        <x:v>28/249 screened studies included; trend toward patches, watches and rings with CNNs and transfer learning.</x:v>
      </x:c>
      <x:c r="P15" s="2" t="str">
        <x:v>Studies published 2020-2024</x:v>
      </x:c>
      <x:c r="Q15" s="2" t="str">
        <x:v>Older</x:v>
      </x:c>
      <x:c r="R15" s="2" t="str">
        <x:v>Mixed</x:v>
      </x:c>
      <x:c r="S15" s="2" t="str">
        <x:v>Mixed</x:v>
      </x:c>
      <x:c r="T15" s="2" t="str">
        <x:v>Mixed</x:v>
      </x:c>
      <x:c r="U15" s="2" t="str">
        <x:v>Moderate</x:v>
      </x:c>
      <x:c r="V15" s="2" t="str">
        <x:v>Training-data quantity/type strongly affect results; study years predate 2025.</x:v>
      </x:c>
      <x:c r="W15" s="2" t="str">
        <x:v>10.1007/s10916-025-02199-8</x:v>
      </x:c>
      <x:c r="X15" s="2" t="str">
        <x:v>40387964</x:v>
      </x:c>
      <x:c r="Y15" s="2" t="str">
        <x:v>https://pubmed.ncbi.nlm.nih.gov/40387964/</x:v>
      </x:c>
      <x:c r="Z15" s="2"/>
    </x:row>
    <x:row r="16">
      <x:c r="A16" s="2" t="str">
        <x:v>E015</x:v>
      </x:c>
      <x:c r="B16" s="2" t="n">
        <x:v>2025</x:v>
      </x:c>
      <x:c r="C16" s="48"/>
      <x:c r="D16" s="2" t="str">
        <x:v>Sleep</x:v>
      </x:c>
      <x:c r="E16" s="2" t="str">
        <x:v>Sleep disorders</x:v>
      </x:c>
      <x:c r="F16" s="2" t="str">
        <x:v>Technology landscape</x:v>
      </x:c>
      <x:c r="G16" s="2" t="str">
        <x:v>Scoping review</x:v>
      </x:c>
      <x:c r="H16" s="2" t="n">
        <x:v>46</x:v>
      </x:c>
      <x:c r="I16" s="2" t="str">
        <x:v>studies</x:v>
      </x:c>
      <x:c r="J16" s="2" t="n">
        <x:v>46</x:v>
      </x:c>
      <x:c r="K16" s="2" t="str">
        <x:v>Wearables; commercial common</x:v>
      </x:c>
      <x:c r="L16" s="2" t="str">
        <x:v>Respiratory, heart rate, movement</x:v>
      </x:c>
      <x:c r="M16" s="2" t="str">
        <x:v>CNN, RF, SVM</x:v>
      </x:c>
      <x:c r="N16" s="2" t="str">
        <x:v>How is wearable AI used across sleep disorders?</x:v>
      </x:c>
      <x:c r="O16" s="2" t="str">
        <x:v>Commercial devices 30/46 (65%); wrist-worn 19/46 (41%); respiratory data 25/46 (54%); CNN 17/46 (37%).</x:v>
      </x:c>
      <x:c r="P16" s="2" t="str">
        <x:v>Included literature mixed</x:v>
      </x:c>
      <x:c r="Q16" s="2" t="str">
        <x:v>Older/Mixed</x:v>
      </x:c>
      <x:c r="R16" s="2" t="str">
        <x:v>Mixed</x:v>
      </x:c>
      <x:c r="S16" s="2" t="str">
        <x:v>Mixed</x:v>
      </x:c>
      <x:c r="T16" s="2" t="str">
        <x:v>Mixed</x:v>
      </x:c>
      <x:c r="U16" s="2" t="str">
        <x:v>Moderate</x:v>
      </x:c>
      <x:c r="V16" s="2" t="str">
        <x:v>Most work focuses diagnosis/screening; none used wearable AI for treatment.</x:v>
      </x:c>
      <x:c r="W16" s="2" t="str">
        <x:v>10.2196/72437</x:v>
      </x:c>
      <x:c r="X16" s="2" t="str">
        <x:v>40327852</x:v>
      </x:c>
      <x:c r="Y16" s="2" t="str">
        <x:v>https://pubmed.ncbi.nlm.nih.gov/40327852/</x:v>
      </x:c>
      <x:c r="Z16" s="2"/>
    </x:row>
    <x:row r="17">
      <x:c r="A17" s="2" t="str">
        <x:v>E016</x:v>
      </x:c>
      <x:c r="B17" s="2" t="n">
        <x:v>2026</x:v>
      </x:c>
      <x:c r="C17" s="48" t="n">
        <x:v>46211</x:v>
      </x:c>
      <x:c r="D17" s="2" t="str">
        <x:v>Sleep</x:v>
      </x:c>
      <x:c r="E17" s="2" t="str">
        <x:v>Obstructive sleep apnea</x:v>
      </x:c>
      <x:c r="F17" s="2" t="str">
        <x:v>Diagnostic performance</x:v>
      </x:c>
      <x:c r="G17" s="2" t="str">
        <x:v>Systematic review &amp; Bayesian meta-analysis</x:v>
      </x:c>
      <x:c r="H17" s="2" t="n">
        <x:v>23171</x:v>
      </x:c>
      <x:c r="I17" s="2" t="str">
        <x:v>participants</x:v>
      </x:c>
      <x:c r="J17" s="2" t="n">
        <x:v>25</x:v>
      </x:c>
      <x:c r="K17" s="2" t="str">
        <x:v>Overnight pulse oximetry</x:v>
      </x:c>
      <x:c r="L17" s="2" t="str">
        <x:v>SpO2</x:v>
      </x:c>
      <x:c r="M17" s="2" t="str">
        <x:v>AI classifiers; neural networks best subgroup</x:v>
      </x:c>
      <x:c r="N17" s="2" t="str">
        <x:v>Can AI diagnose OSA using oximetry alone?</x:v>
      </x:c>
      <x:c r="O17" s="2" t="str">
        <x:v>Pooled sensitivity 91.1%; specificity 88.4%. Neural networks: 92.7% / 91.3%. High overall evidence quality.</x:v>
      </x:c>
      <x:c r="P17" s="2" t="str">
        <x:v>Search through Jan 3 2026</x:v>
      </x:c>
      <x:c r="Q17" s="2" t="str">
        <x:v>Mixed</x:v>
      </x:c>
      <x:c r="R17" s="2" t="str">
        <x:v>Needed further</x:v>
      </x:c>
      <x:c r="S17" s="2" t="str">
        <x:v>Mixed</x:v>
      </x:c>
      <x:c r="T17" s="2" t="str">
        <x:v>Mixed</x:v>
      </x:c>
      <x:c r="U17" s="2" t="str">
        <x:v>Strong</x:v>
      </x:c>
      <x:c r="V17" s="2" t="str">
        <x:v>Prospective external validation in diverse low-prevalence settings still needed.</x:v>
      </x:c>
      <x:c r="W17" s="2" t="str">
        <x:v>10.2196/80349</x:v>
      </x:c>
      <x:c r="X17" s="2" t="str">
        <x:v>42418449</x:v>
      </x:c>
      <x:c r="Y17" s="2" t="str">
        <x:v>https://pubmed.ncbi.nlm.nih.gov/42418449/</x:v>
      </x:c>
      <x:c r="Z17" s="2"/>
    </x:row>
    <x:row r="18">
      <x:c r="A18" s="2" t="str">
        <x:v>E017</x:v>
      </x:c>
      <x:c r="B18" s="2" t="n">
        <x:v>2025</x:v>
      </x:c>
      <x:c r="C18" s="48" t="n">
        <x:v>45789</x:v>
      </x:c>
      <x:c r="D18" s="2" t="str">
        <x:v>Sleep</x:v>
      </x:c>
      <x:c r="E18" s="2" t="str">
        <x:v>Obstructive sleep apnea</x:v>
      </x:c>
      <x:c r="F18" s="2" t="str">
        <x:v>External validation</x:v>
      </x:c>
      <x:c r="G18" s="2" t="str">
        <x:v>Prospective validation study</x:v>
      </x:c>
      <x:c r="H18" s="2" t="n">
        <x:v>352</x:v>
      </x:c>
      <x:c r="I18" s="2" t="str">
        <x:v>participants</x:v>
      </x:c>
      <x:c r="J18" s="2" t="n">
        <x:v>1</x:v>
      </x:c>
      <x:c r="K18" s="2" t="str">
        <x:v>TipTraQ fingertip HSAT</x:v>
      </x:c>
      <x:c r="L18" s="2" t="str">
        <x:v>PPG (red/IR/green) + accelerometer</x:v>
      </x:c>
      <x:c r="M18" s="2" t="str">
        <x:v>Cloud deep learning AI</x:v>
      </x:c>
      <x:c r="N18" s="2" t="str">
        <x:v>Can a compact home wearable estimate sleep and respiratory events vs PSG?</x:v>
      </x:c>
      <x:c r="O18" s="2" t="str">
        <x:v>240 internal +112 external. External TQ-REI vs AHI correlation 0.95; RMSE 7.53 events/h; 4-way severity kappa 0.70.</x:v>
      </x:c>
      <x:c r="P18" s="2" t="str">
        <x:v>Prospective enrollment; dates not stated</x:v>
      </x:c>
      <x:c r="Q18" s="2" t="str">
        <x:v>Unknown</x:v>
      </x:c>
      <x:c r="R18" s="2" t="str">
        <x:v>Yes (112 independent participants)</x:v>
      </x:c>
      <x:c r="S18" s="2" t="str">
        <x:v>Yes</x:v>
      </x:c>
      <x:c r="T18" s="2" t="str">
        <x:v>No</x:v>
      </x:c>
      <x:c r="U18" s="2" t="str">
        <x:v>Strong validation</x:v>
      </x:c>
      <x:c r="V18" s="2" t="str">
        <x:v>Industry-linked device; event-level TP 0.76, FP 0.24, FN 0.23.</x:v>
      </x:c>
      <x:c r="W18" s="2" t="str">
        <x:v>10.1093/sleep/zsae317</x:v>
      </x:c>
      <x:c r="X18" s="2" t="str">
        <x:v>39821673</x:v>
      </x:c>
      <x:c r="Y18" s="2" t="str">
        <x:v>https://pubmed.ncbi.nlm.nih.gov/39821673/</x:v>
      </x:c>
      <x:c r="Z18" s="2"/>
    </x:row>
    <x:row r="19">
      <x:c r="A19" s="2" t="str">
        <x:v>E018</x:v>
      </x:c>
      <x:c r="B19" s="2" t="n">
        <x:v>2025</x:v>
      </x:c>
      <x:c r="C19" s="48"/>
      <x:c r="D19" s="2" t="str">
        <x:v>Sleep</x:v>
      </x:c>
      <x:c r="E19" s="2" t="str">
        <x:v>Obstructive sleep apnea</x:v>
      </x:c>
      <x:c r="F19" s="2" t="str">
        <x:v>Diagnostic performance</x:v>
      </x:c>
      <x:c r="G19" s="2" t="str">
        <x:v>Systematic review &amp; meta-analysis</x:v>
      </x:c>
      <x:c r="H19" s="2" t="n">
        <x:v>18</x:v>
      </x:c>
      <x:c r="I19" s="2" t="str">
        <x:v>studies</x:v>
      </x:c>
      <x:c r="J19" s="2" t="n">
        <x:v>18</x:v>
      </x:c>
      <x:c r="K19" s="2" t="str">
        <x:v>Oximetry-based wearables / medical devices</x:v>
      </x:c>
      <x:c r="L19" s="2" t="str">
        <x:v>SpO2</x:v>
      </x:c>
      <x:c r="M19" s="2" t="str">
        <x:v>Diagnostic meta-analysis</x:v>
      </x:c>
      <x:c r="N19" s="2" t="str">
        <x:v>How do oximetry-based devices perform vs PSG?</x:v>
      </x:c>
      <x:c r="O19" s="2" t="str">
        <x:v>Overall sensitivity 97%; specificity 63%; AUC ~0.90. Consumer wearables sensitivity 93%, specificity 63%.</x:v>
      </x:c>
      <x:c r="P19" s="2" t="str">
        <x:v>Mixed study years</x:v>
      </x:c>
      <x:c r="Q19" s="2" t="str">
        <x:v>Older/Mixed</x:v>
      </x:c>
      <x:c r="R19" s="2" t="str">
        <x:v>Mixed</x:v>
      </x:c>
      <x:c r="S19" s="2" t="str">
        <x:v>Mixed</x:v>
      </x:c>
      <x:c r="T19" s="2" t="str">
        <x:v>Mixed</x:v>
      </x:c>
      <x:c r="U19" s="2" t="str">
        <x:v>Moderate</x:v>
      </x:c>
      <x:c r="V19" s="2" t="str">
        <x:v>High sensitivity but low specificity may drive unnecessary confirmatory testing.</x:v>
      </x:c>
      <x:c r="W19" s="2" t="str"/>
      <x:c r="X19" s="2" t="str">
        <x:v>40749523</x:v>
      </x:c>
      <x:c r="Y19" s="2" t="str">
        <x:v>https://pubmed.ncbi.nlm.nih.gov/40749523/</x:v>
      </x:c>
      <x:c r="Z19" s="2"/>
    </x:row>
    <x:row r="20">
      <x:c r="A20" s="2" t="str">
        <x:v>E019</x:v>
      </x:c>
      <x:c r="B20" s="2" t="n">
        <x:v>2026</x:v>
      </x:c>
      <x:c r="C20" s="48"/>
      <x:c r="D20" s="2" t="str">
        <x:v>Mental health</x:v>
      </x:c>
      <x:c r="E20" s="2" t="str">
        <x:v>Depression</x:v>
      </x:c>
      <x:c r="F20" s="2" t="str">
        <x:v>Diagnostic &amp; predictive performance</x:v>
      </x:c>
      <x:c r="G20" s="2" t="str">
        <x:v>Systematic review &amp; meta-analysis</x:v>
      </x:c>
      <x:c r="H20" s="2" t="n">
        <x:v>1189</x:v>
      </x:c>
      <x:c r="I20" s="2" t="str">
        <x:v>patients</x:v>
      </x:c>
      <x:c r="J20" s="2" t="n">
        <x:v>16</x:v>
      </x:c>
      <x:c r="K20" s="2" t="str">
        <x:v>Wearable devices</x:v>
      </x:c>
      <x:c r="L20" s="2" t="str">
        <x:v>Multimodal wearable signals</x:v>
      </x:c>
      <x:c r="M20" s="2" t="str">
        <x:v>Multiple AI models; RF top subgroup</x:v>
      </x:c>
      <x:c r="N20" s="2" t="str">
        <x:v>How well can wearable AI detect depression / predict episodes?</x:v>
      </x:c>
      <x:c r="O20" s="2" t="str">
        <x:v>32 datasets / 13,593 samples. Detection sensitivity 0.89, specificity 0.93, AUC 0.96. Episode prediction sensitivity 0.86, specificity 0.65.</x:v>
      </x:c>
      <x:c r="P20" s="2" t="str">
        <x:v>Search through May 27 2025</x:v>
      </x:c>
      <x:c r="Q20" s="2" t="str">
        <x:v>Mixed</x:v>
      </x:c>
      <x:c r="R20" s="2" t="str">
        <x:v>Limited</x:v>
      </x:c>
      <x:c r="S20" s="2" t="str">
        <x:v>Mostly retrospective/public datasets</x:v>
      </x:c>
      <x:c r="T20" s="2" t="str">
        <x:v>Mixed</x:v>
      </x:c>
      <x:c r="U20" s="2" t="str">
        <x:v>Strong diagnostic / Moderate predictive</x:v>
      </x:c>
      <x:c r="V20" s="2" t="str">
        <x:v>Prediction specificity is much weaker than detection; heterogeneity limits generalizability.</x:v>
      </x:c>
      <x:c r="W20" s="2" t="str">
        <x:v>10.2196/85319</x:v>
      </x:c>
      <x:c r="X20" s="2" t="str">
        <x:v>41805737</x:v>
      </x:c>
      <x:c r="Y20" s="2" t="str">
        <x:v>https://pubmed.ncbi.nlm.nih.gov/41805737/</x:v>
      </x:c>
      <x:c r="Z20" s="2"/>
    </x:row>
    <x:row r="21">
      <x:c r="A21" s="2" t="str">
        <x:v>E020</x:v>
      </x:c>
      <x:c r="B21" s="2" t="n">
        <x:v>2026</x:v>
      </x:c>
      <x:c r="C21" s="48"/>
      <x:c r="D21" s="2" t="str">
        <x:v>Mental health</x:v>
      </x:c>
      <x:c r="E21" s="2" t="str">
        <x:v>Depression</x:v>
      </x:c>
      <x:c r="F21" s="2" t="str">
        <x:v>Digital biomarkers</x:v>
      </x:c>
      <x:c r="G21" s="2" t="str">
        <x:v>Systematic review &amp; meta-analysis</x:v>
      </x:c>
      <x:c r="H21" s="2" t="n">
        <x:v>57852</x:v>
      </x:c>
      <x:c r="I21" s="2" t="str">
        <x:v>participants</x:v>
      </x:c>
      <x:c r="J21" s="2" t="n">
        <x:v>132</x:v>
      </x:c>
      <x:c r="K21" s="2" t="str">
        <x:v>Wearable + digital biomarkers</x:v>
      </x:c>
      <x:c r="L21" s="2" t="str">
        <x:v>Sleep, activity, cardiac, smartphone, speech, GPS, circadian</x:v>
      </x:c>
      <x:c r="M21" s="2" t="str">
        <x:v>Meta-analysis + narrative synthesis</x:v>
      </x:c>
      <x:c r="N21" s="2" t="str">
        <x:v>Which digital biomarkers differ in depression?</x:v>
      </x:c>
      <x:c r="O21" s="2" t="str">
        <x:v>Meta-analysis of 22 studies / 6,947 participants: sleep onset +4.75 min; time in bed +31.81 min; activity SMD -0.71.</x:v>
      </x:c>
      <x:c r="P21" s="2" t="str">
        <x:v>Search through Dec 28 2025</x:v>
      </x:c>
      <x:c r="Q21" s="2" t="str">
        <x:v>Mixed</x:v>
      </x:c>
      <x:c r="R21" s="2" t="str">
        <x:v>Mixed</x:v>
      </x:c>
      <x:c r="S21" s="2" t="str">
        <x:v>Mixed</x:v>
      </x:c>
      <x:c r="T21" s="2" t="str">
        <x:v>Mixed</x:v>
      </x:c>
      <x:c r="U21" s="2" t="str">
        <x:v>Strong synthesis</x:v>
      </x:c>
      <x:c r="V21" s="2" t="str">
        <x:v>No single biomarker is sufficient; wide prediction intervals and heterogeneity support multimodal approaches.</x:v>
      </x:c>
      <x:c r="W21" s="2" t="str">
        <x:v>10.2196/84320</x:v>
      </x:c>
      <x:c r="X21" s="2" t="str">
        <x:v>41926632</x:v>
      </x:c>
      <x:c r="Y21" s="2" t="str">
        <x:v>https://pubmed.ncbi.nlm.nih.gov/41926632/</x:v>
      </x:c>
      <x:c r="Z21" s="2"/>
    </x:row>
    <x:row r="22">
      <x:c r="A22" s="2" t="str">
        <x:v>E021</x:v>
      </x:c>
      <x:c r="B22" s="2" t="n">
        <x:v>2025</x:v>
      </x:c>
      <x:c r="C22" s="48" t="n">
        <x:v>45890</x:v>
      </x:c>
      <x:c r="D22" s="2" t="str">
        <x:v>Mental health</x:v>
      </x:c>
      <x:c r="E22" s="2" t="str">
        <x:v>Depression</x:v>
      </x:c>
      <x:c r="F22" s="2" t="str">
        <x:v>Longitudinal monitoring</x:v>
      </x:c>
      <x:c r="G22" s="2" t="str">
        <x:v>Systematic review</x:v>
      </x:c>
      <x:c r="H22" s="2"/>
      <x:c r="I22" s="2" t="str">
        <x:v>studies</x:v>
      </x:c>
      <x:c r="J22" s="2"/>
      <x:c r="K22" s="2" t="str">
        <x:v>Smartphones + wearables</x:v>
      </x:c>
      <x:c r="L22" s="2" t="str">
        <x:v>Passive mobile sensing</x:v>
      </x:c>
      <x:c r="M22" s="2" t="str">
        <x:v>ML / personalized models</x:v>
      </x:c>
      <x:c r="N22" s="2" t="str">
        <x:v>Can passive sensing monitor and predict depression severity over time?</x:v>
      </x:c>
      <x:c r="O22" s="2" t="str">
        <x:v>Personalized and multimodal models generally performed better; long-term ≥1-year studies remain uncommon.</x:v>
      </x:c>
      <x:c r="P22" s="2" t="str">
        <x:v>Mixed historical studies</x:v>
      </x:c>
      <x:c r="Q22" s="2" t="str">
        <x:v>Older/Mixed</x:v>
      </x:c>
      <x:c r="R22" s="2" t="str">
        <x:v>Limited</x:v>
      </x:c>
      <x:c r="S22" s="2" t="str">
        <x:v>Longitudinal focus</x:v>
      </x:c>
      <x:c r="T22" s="2" t="str">
        <x:v>Mixed</x:v>
      </x:c>
      <x:c r="U22" s="2" t="str">
        <x:v>Moderate</x:v>
      </x:c>
      <x:c r="V22" s="2" t="str">
        <x:v>Lack of long-duration validation, adherence issues, privacy and inconsistent reporting.</x:v>
      </x:c>
      <x:c r="W22" s="2" t="str">
        <x:v>10.2196/65392</x:v>
      </x:c>
      <x:c r="X22" s="2" t="str">
        <x:v>40839863</x:v>
      </x:c>
      <x:c r="Y22" s="2" t="str">
        <x:v>https://pubmed.ncbi.nlm.nih.gov/40839863/</x:v>
      </x:c>
      <x:c r="Z22" s="2"/>
    </x:row>
    <x:row r="23">
      <x:c r="A23" s="2" t="str">
        <x:v>E022</x:v>
      </x:c>
      <x:c r="B23" s="2" t="n">
        <x:v>2025</x:v>
      </x:c>
      <x:c r="C23" s="48" t="n">
        <x:v>45937</x:v>
      </x:c>
      <x:c r="D23" s="2" t="str">
        <x:v>Mental health</x:v>
      </x:c>
      <x:c r="E23" s="2" t="str">
        <x:v>Stress</x:v>
      </x:c>
      <x:c r="F23" s="2" t="str">
        <x:v>Prediction evidence</x:v>
      </x:c>
      <x:c r="G23" s="2" t="str">
        <x:v>Systematic review</x:v>
      </x:c>
      <x:c r="H23" s="2"/>
      <x:c r="I23" s="2" t="str">
        <x:v>studies</x:v>
      </x:c>
      <x:c r="J23" s="2"/>
      <x:c r="K23" s="2" t="str">
        <x:v>Wearables</x:v>
      </x:c>
      <x:c r="L23" s="2" t="str">
        <x:v>EDA, PPG, accelerometer, HRV, respiration</x:v>
      </x:c>
      <x:c r="M23" s="2" t="str">
        <x:v>RF, SVM, DNN</x:v>
      </x:c>
      <x:c r="N23" s="2" t="str">
        <x:v>Can ML predict stress episodes from wearable data?</x:v>
      </x:c>
      <x:c r="O23" s="2" t="str">
        <x:v>Reported accuracies reach up to 99% in some studies; common signals include HRV, EDA and respiration.</x:v>
      </x:c>
      <x:c r="P23" s="2" t="str">
        <x:v>Literature Jan 2010-Jun 2025</x:v>
      </x:c>
      <x:c r="Q23" s="2" t="str">
        <x:v>Mixed</x:v>
      </x:c>
      <x:c r="R23" s="2" t="str">
        <x:v>Limited</x:v>
      </x:c>
      <x:c r="S23" s="2" t="str">
        <x:v>Mixed</x:v>
      </x:c>
      <x:c r="T23" s="2" t="str">
        <x:v>Mixed</x:v>
      </x:c>
      <x:c r="U23" s="2" t="str">
        <x:v>Moderate</x:v>
      </x:c>
      <x:c r="V23" s="2" t="str">
        <x:v>Small samples, variable data quality and lack of standardized protocols.</x:v>
      </x:c>
      <x:c r="W23" s="2" t="str">
        <x:v>10.1016/j.compbiomed.2025.111166</x:v>
      </x:c>
      <x:c r="X23" s="2" t="str">
        <x:v>41061390</x:v>
      </x:c>
      <x:c r="Y23" s="2" t="str">
        <x:v>https://pubmed.ncbi.nlm.nih.gov/41061390/</x:v>
      </x:c>
      <x:c r="Z23" s="2"/>
    </x:row>
    <x:row r="24">
      <x:c r="A24" s="2" t="str">
        <x:v>E023</x:v>
      </x:c>
      <x:c r="B24" s="2" t="n">
        <x:v>2026</x:v>
      </x:c>
      <x:c r="C24" s="48"/>
      <x:c r="D24" s="2" t="str">
        <x:v>Mental health</x:v>
      </x:c>
      <x:c r="E24" s="2" t="str">
        <x:v>Workplace stress</x:v>
      </x:c>
      <x:c r="F24" s="2" t="str">
        <x:v>Detection evidence</x:v>
      </x:c>
      <x:c r="G24" s="2" t="str">
        <x:v>Systematic literature review</x:v>
      </x:c>
      <x:c r="H24" s="2" t="n">
        <x:v>20</x:v>
      </x:c>
      <x:c r="I24" s="2" t="str">
        <x:v>studies</x:v>
      </x:c>
      <x:c r="J24" s="2" t="n">
        <x:v>20</x:v>
      </x:c>
      <x:c r="K24" s="2" t="str">
        <x:v>Wearable + multimodal systems</x:v>
      </x:c>
      <x:c r="L24" s="2" t="str">
        <x:v>Physiological, behavioral, multimodal</x:v>
      </x:c>
      <x:c r="M24" s="2" t="str">
        <x:v>ML + DL</x:v>
      </x:c>
      <x:c r="N24" s="2" t="str">
        <x:v>How well can ML detect stress in workplace contexts?</x:v>
      </x:c>
      <x:c r="O24" s="2" t="str">
        <x:v>20 studies; effective detection reported, especially in high-risk occupations.</x:v>
      </x:c>
      <x:c r="P24" s="2" t="str">
        <x:v>Recent literature</x:v>
      </x:c>
      <x:c r="Q24" s="2" t="str">
        <x:v>Mixed</x:v>
      </x:c>
      <x:c r="R24" s="2" t="str">
        <x:v>Limited</x:v>
      </x:c>
      <x:c r="S24" s="2" t="str">
        <x:v>Naturalistic / workplace</x:v>
      </x:c>
      <x:c r="T24" s="2" t="str">
        <x:v>Mixed</x:v>
      </x:c>
      <x:c r="U24" s="2" t="str">
        <x:v>Moderate</x:v>
      </x:c>
      <x:c r="V24" s="2" t="str">
        <x:v>Small samples, limited diversity and minimal CNS signals.</x:v>
      </x:c>
      <x:c r="W24" s="2" t="str"/>
      <x:c r="X24" s="2" t="str">
        <x:v>42325279</x:v>
      </x:c>
      <x:c r="Y24" s="2" t="str">
        <x:v>https://pubmed.ncbi.nlm.nih.gov/42325279/</x:v>
      </x:c>
      <x:c r="Z24" s="2"/>
    </x:row>
    <x:row r="25">
      <x:c r="A25" s="2" t="str">
        <x:v>E024</x:v>
      </x:c>
      <x:c r="B25" s="2" t="n">
        <x:v>2026</x:v>
      </x:c>
      <x:c r="C25" s="48"/>
      <x:c r="D25" s="2" t="str">
        <x:v>Mental health</x:v>
      </x:c>
      <x:c r="E25" s="2" t="str">
        <x:v>Stress</x:v>
      </x:c>
      <x:c r="F25" s="2" t="str">
        <x:v>Naturalistic modeling</x:v>
      </x:c>
      <x:c r="G25" s="2" t="str">
        <x:v>Scoping review</x:v>
      </x:c>
      <x:c r="H25" s="2" t="n">
        <x:v>34</x:v>
      </x:c>
      <x:c r="I25" s="2" t="str">
        <x:v>studies</x:v>
      </x:c>
      <x:c r="J25" s="2" t="n">
        <x:v>34</x:v>
      </x:c>
      <x:c r="K25" s="2" t="str">
        <x:v>Wearables in naturalistic settings</x:v>
      </x:c>
      <x:c r="L25" s="2" t="str">
        <x:v>Physiological wearable signals</x:v>
      </x:c>
      <x:c r="M25" s="2" t="str">
        <x:v>ML frameworks / model-card perspective</x:v>
      </x:c>
      <x:c r="N25" s="2" t="str">
        <x:v>How are wearable stress models evaluated in the wild?</x:v>
      </x:c>
      <x:c r="O25" s="2" t="str">
        <x:v>34 eligible studies from 353 identified; review emphasizes model formulation, ground truth and reporting standardization.</x:v>
      </x:c>
      <x:c r="P25" s="2" t="str">
        <x:v>Studies 2017-2024</x:v>
      </x:c>
      <x:c r="Q25" s="2" t="str">
        <x:v>Older</x:v>
      </x:c>
      <x:c r="R25" s="2" t="str">
        <x:v>Mixed</x:v>
      </x:c>
      <x:c r="S25" s="2" t="str">
        <x:v>Yes / naturalistic</x:v>
      </x:c>
      <x:c r="T25" s="2" t="str">
        <x:v>Mixed</x:v>
      </x:c>
      <x:c r="U25" s="2" t="str">
        <x:v>Moderate</x:v>
      </x:c>
      <x:c r="V25" s="2" t="str">
        <x:v>Published data predates 2025; reporting and ground-truth definitions remain inconsistent.</x:v>
      </x:c>
      <x:c r="W25" s="2" t="str">
        <x:v>10.2196/76632</x:v>
      </x:c>
      <x:c r="X25" s="2" t="str">
        <x:v>42536919</x:v>
      </x:c>
      <x:c r="Y25" s="2" t="str">
        <x:v>https://pubmed.ncbi.nlm.nih.gov/42536919/</x:v>
      </x:c>
      <x:c r="Z25" s="2"/>
    </x:row>
    <x:row r="26">
      <x:c r="A26" s="2" t="str">
        <x:v>E025</x:v>
      </x:c>
      <x:c r="B26" s="2" t="n">
        <x:v>2026</x:v>
      </x:c>
      <x:c r="C26" s="48"/>
      <x:c r="D26" s="2" t="str">
        <x:v>Mental health</x:v>
      </x:c>
      <x:c r="E26" s="2" t="str">
        <x:v>College stress</x:v>
      </x:c>
      <x:c r="F26" s="2" t="str">
        <x:v>Digital sensing landscape</x:v>
      </x:c>
      <x:c r="G26" s="2" t="str">
        <x:v>Scoping review</x:v>
      </x:c>
      <x:c r="H26" s="2" t="n">
        <x:v>134</x:v>
      </x:c>
      <x:c r="I26" s="2" t="str">
        <x:v>studies</x:v>
      </x:c>
      <x:c r="J26" s="2" t="n">
        <x:v>134</x:v>
      </x:c>
      <x:c r="K26" s="2" t="str">
        <x:v>Consumer wearables / digital tools</x:v>
      </x:c>
      <x:c r="L26" s="2" t="str">
        <x:v>EDA most common (77/134, 57.5%)</x:v>
      </x:c>
      <x:c r="M26" s="2" t="str">
        <x:v>Mixed ML approaches</x:v>
      </x:c>
      <x:c r="N26" s="2" t="str">
        <x:v>What sensors dominate student stress research?</x:v>
      </x:c>
      <x:c r="O26" s="2" t="str">
        <x:v>134 studies from 792 records; EDA used in 57.5%; wrist-worn devices dominant.</x:v>
      </x:c>
      <x:c r="P26" s="2" t="str">
        <x:v>Studies Jan 2020-Dec 2025</x:v>
      </x:c>
      <x:c r="Q26" s="2" t="str">
        <x:v>Mixed</x:v>
      </x:c>
      <x:c r="R26" s="2" t="str">
        <x:v>Mixed</x:v>
      </x:c>
      <x:c r="S26" s="2" t="str">
        <x:v>Mixed</x:v>
      </x:c>
      <x:c r="T26" s="2" t="str">
        <x:v>Mixed</x:v>
      </x:c>
      <x:c r="U26" s="2" t="str">
        <x:v>Moderate</x:v>
      </x:c>
      <x:c r="V26" s="2" t="str">
        <x:v>Population-specific; methods and ground truth vary widely.</x:v>
      </x:c>
      <x:c r="W26" s="2" t="str"/>
      <x:c r="X26" s="2" t="str">
        <x:v>41911361</x:v>
      </x:c>
      <x:c r="Y26" s="2" t="str">
        <x:v>https://pubmed.ncbi.nlm.nih.gov/41911361/</x:v>
      </x:c>
      <x:c r="Z26" s="2"/>
    </x:row>
    <x:row r="27">
      <x:c r="A27" s="2" t="str">
        <x:v>E026</x:v>
      </x:c>
      <x:c r="B27" s="2" t="n">
        <x:v>2026</x:v>
      </x:c>
      <x:c r="C27" s="48"/>
      <x:c r="D27" s="2" t="str">
        <x:v>Respiratory</x:v>
      </x:c>
      <x:c r="E27" s="2" t="str">
        <x:v>COPD exacerbation</x:v>
      </x:c>
      <x:c r="F27" s="2" t="str">
        <x:v>Prediction / remote monitoring</x:v>
      </x:c>
      <x:c r="G27" s="2" t="str">
        <x:v>Systematic review</x:v>
      </x:c>
      <x:c r="H27" s="2" t="n">
        <x:v>26</x:v>
      </x:c>
      <x:c r="I27" s="2" t="str">
        <x:v>studies</x:v>
      </x:c>
      <x:c r="J27" s="2" t="n">
        <x:v>26</x:v>
      </x:c>
      <x:c r="K27" s="2" t="str">
        <x:v>Wearable / IoT remote monitoring</x:v>
      </x:c>
      <x:c r="L27" s="2" t="str">
        <x:v>Heart rate, SpO2, symptoms</x:v>
      </x:c>
      <x:c r="M27" s="2" t="str">
        <x:v>ML/DL for exacerbation detection/prediction</x:v>
      </x:c>
      <x:c r="N27" s="2" t="str">
        <x:v>Which physiological variables are most used for COPD exacerbation prediction?</x:v>
      </x:c>
      <x:c r="O27" s="2" t="str">
        <x:v>20/26 targeted exacerbation prediction/detection; HR n=9, SpO2 n=9, symptoms n=8; daily/weekly sampling n=14.</x:v>
      </x:c>
      <x:c r="P27" s="2" t="str">
        <x:v>Recent mixed years</x:v>
      </x:c>
      <x:c r="Q27" s="2" t="str">
        <x:v>Mixed</x:v>
      </x:c>
      <x:c r="R27" s="2" t="str">
        <x:v>Limited</x:v>
      </x:c>
      <x:c r="S27" s="2" t="str">
        <x:v>In-home contexts</x:v>
      </x:c>
      <x:c r="T27" s="2" t="str">
        <x:v>Mixed</x:v>
      </x:c>
      <x:c r="U27" s="2" t="str">
        <x:v>Moderate</x:v>
      </x:c>
      <x:c r="V27" s="2" t="str">
        <x:v>Small heterogeneous studies and variable sampling prevent standardization.</x:v>
      </x:c>
      <x:c r="W27" s="2" t="str"/>
      <x:c r="X27" s="2" t="str">
        <x:v>42090610</x:v>
      </x:c>
      <x:c r="Y27" s="2" t="str">
        <x:v>https://pubmed.ncbi.nlm.nih.gov/42090610/</x:v>
      </x:c>
      <x:c r="Z27" s="2"/>
    </x:row>
    <x:row r="28">
      <x:c r="A28" s="2" t="str">
        <x:v>E027</x:v>
      </x:c>
      <x:c r="B28" s="2" t="n">
        <x:v>2026</x:v>
      </x:c>
      <x:c r="C28" s="48" t="n">
        <x:v>46080</x:v>
      </x:c>
      <x:c r="D28" s="2" t="str">
        <x:v>Cross-condition</x:v>
      </x:c>
      <x:c r="E28" s="2" t="str">
        <x:v>Remote health monitoring</x:v>
      </x:c>
      <x:c r="F28" s="2" t="str">
        <x:v>Implementation evidence</x:v>
      </x:c>
      <x:c r="G28" s="2" t="str">
        <x:v>Systematic review</x:v>
      </x:c>
      <x:c r="H28" s="2" t="n">
        <x:v>55</x:v>
      </x:c>
      <x:c r="I28" s="2" t="str">
        <x:v>studies</x:v>
      </x:c>
      <x:c r="J28" s="2" t="n">
        <x:v>55</x:v>
      </x:c>
      <x:c r="K28" s="2" t="str">
        <x:v>Wearables</x:v>
      </x:c>
      <x:c r="L28" s="2" t="str">
        <x:v>Mixed sensors</x:v>
      </x:c>
      <x:c r="M28" s="2" t="str">
        <x:v>Mostly traditional statistics; limited advanced AI</x:v>
      </x:c>
      <x:c r="N28" s="2" t="str">
        <x:v>How integrated are wearables and AI in remote monitoring?</x:v>
      </x:c>
      <x:c r="O28" s="2" t="str">
        <x:v>55 studies (2020-2025); notable reliance on traditional statistics; personalized feedback important for engagement.</x:v>
      </x:c>
      <x:c r="P28" s="2" t="str">
        <x:v>Studies 2020-2025</x:v>
      </x:c>
      <x:c r="Q28" s="2" t="str">
        <x:v>Mixed</x:v>
      </x:c>
      <x:c r="R28" s="2" t="str">
        <x:v>Mixed</x:v>
      </x:c>
      <x:c r="S28" s="2" t="str">
        <x:v>Remote monitoring</x:v>
      </x:c>
      <x:c r="T28" s="2" t="str">
        <x:v>Mixed</x:v>
      </x:c>
      <x:c r="U28" s="2" t="str">
        <x:v>Moderate</x:v>
      </x:c>
      <x:c r="V28" s="2" t="str">
        <x:v>Need more rigorous clinical trials and stronger AI integration.</x:v>
      </x:c>
      <x:c r="W28" s="2" t="str">
        <x:v>10.1177/20552076261428387</x:v>
      </x:c>
      <x:c r="X28" s="2" t="str">
        <x:v>41783284</x:v>
      </x:c>
      <x:c r="Y28" s="2" t="str">
        <x:v>https://pubmed.ncbi.nlm.nih.gov/41783284/</x:v>
      </x:c>
      <x:c r="Z28" s="2"/>
    </x:row>
    <x:row r="29">
      <x:c r="A29" s="2" t="str">
        <x:v>E028</x:v>
      </x:c>
      <x:c r="B29" s="2" t="n">
        <x:v>2026</x:v>
      </x:c>
      <x:c r="C29" s="48"/>
      <x:c r="D29" s="2" t="str">
        <x:v>Cross-condition</x:v>
      </x:c>
      <x:c r="E29" s="2" t="str">
        <x:v>Chronic disease remote monitoring</x:v>
      </x:c>
      <x:c r="F29" s="2" t="str">
        <x:v>Technology landscape</x:v>
      </x:c>
      <x:c r="G29" s="2" t="str">
        <x:v>Systematic review</x:v>
      </x:c>
      <x:c r="H29" s="2" t="n">
        <x:v>61</x:v>
      </x:c>
      <x:c r="I29" s="2" t="str">
        <x:v>studies</x:v>
      </x:c>
      <x:c r="J29" s="2" t="n">
        <x:v>61</x:v>
      </x:c>
      <x:c r="K29" s="2" t="str">
        <x:v>Wearable devices</x:v>
      </x:c>
      <x:c r="L29" s="2" t="str">
        <x:v>Mixed sensors / body locations</x:v>
      </x:c>
      <x:c r="M29" s="2" t="str">
        <x:v>Mixed analytics</x:v>
      </x:c>
      <x:c r="N29" s="2" t="str">
        <x:v>What wearables, sensors and parameters are used across chronic disease monitoring?</x:v>
      </x:c>
      <x:c r="O29" s="2" t="str">
        <x:v>61 studies selected from 1,160 articles across cardiovascular, cancer, neurological, metabolic and respiratory diseases.</x:v>
      </x:c>
      <x:c r="P29" s="2" t="str">
        <x:v>Recent mixed years</x:v>
      </x:c>
      <x:c r="Q29" s="2" t="str">
        <x:v>Mixed</x:v>
      </x:c>
      <x:c r="R29" s="2" t="str">
        <x:v>Mixed</x:v>
      </x:c>
      <x:c r="S29" s="2" t="str">
        <x:v>Remote monitoring</x:v>
      </x:c>
      <x:c r="T29" s="2" t="str">
        <x:v>Mixed</x:v>
      </x:c>
      <x:c r="U29" s="2" t="str">
        <x:v>Moderate</x:v>
      </x:c>
      <x:c r="V29" s="2" t="str">
        <x:v>Cross-disease heterogeneity; intended mainly for standardization and mapping.</x:v>
      </x:c>
      <x:c r="W29" s="2" t="str">
        <x:v>10.2196/77612</x:v>
      </x:c>
      <x:c r="X29" s="2" t="str">
        <x:v>41671558</x:v>
      </x:c>
      <x:c r="Y29" s="2" t="str">
        <x:v>https://pubmed.ncbi.nlm.nih.gov/41671558/</x:v>
      </x:c>
      <x:c r="Z29" s="2"/>
    </x:row>
    <x:row r="30">
      <x:c r="A30" s="2" t="str">
        <x:v>E029</x:v>
      </x:c>
      <x:c r="B30" s="2" t="n">
        <x:v>2026</x:v>
      </x:c>
      <x:c r="C30" s="48"/>
      <x:c r="D30" s="2" t="str">
        <x:v>Aging</x:v>
      </x:c>
      <x:c r="E30" s="2" t="str">
        <x:v>Frailty</x:v>
      </x:c>
      <x:c r="F30" s="2" t="str">
        <x:v>Prediction performance</x:v>
      </x:c>
      <x:c r="G30" s="2" t="str">
        <x:v>Systematic review &amp; meta-analysis</x:v>
      </x:c>
      <x:c r="H30" s="2" t="n">
        <x:v>10</x:v>
      </x:c>
      <x:c r="I30" s="2" t="str">
        <x:v>studies</x:v>
      </x:c>
      <x:c r="J30" s="2" t="n">
        <x:v>45</x:v>
      </x:c>
      <x:c r="K30" s="2" t="str">
        <x:v>Community data; wearable use in some studies</x:v>
      </x:c>
      <x:c r="L30" s="2" t="str">
        <x:v>Clinical + functional + longitudinal data</x:v>
      </x:c>
      <x:c r="M30" s="2" t="str">
        <x:v>ML models</x:v>
      </x:c>
      <x:c r="N30" s="2" t="str">
        <x:v>How well do ML models predict frailty?</x:v>
      </x:c>
      <x:c r="O30" s="2" t="str">
        <x:v>45 models: 36 internal, 9 external. Pooled AUC baseline 0.878; longitudinal 0.730; overall 0.786.</x:v>
      </x:c>
      <x:c r="P30" s="2" t="str">
        <x:v>Search through Jun 10 2025</x:v>
      </x:c>
      <x:c r="Q30" s="2" t="str">
        <x:v>Mixed</x:v>
      </x:c>
      <x:c r="R30" s="2" t="str">
        <x:v>9/45 models external</x:v>
      </x:c>
      <x:c r="S30" s="2" t="str">
        <x:v>Mixed</x:v>
      </x:c>
      <x:c r="T30" s="2" t="str">
        <x:v>Mixed</x:v>
      </x:c>
      <x:c r="U30" s="2" t="str">
        <x:v>Moderate</x:v>
      </x:c>
      <x:c r="V30" s="2" t="str">
        <x:v>Quality/applicability concerns despite good discrimination.</x:v>
      </x:c>
      <x:c r="W30" s="2" t="str">
        <x:v>10.3389/fpubh.2025.1667792</x:v>
      </x:c>
      <x:c r="X30" s="2" t="str">
        <x:v>41602088</x:v>
      </x:c>
      <x:c r="Y30" s="2" t="str">
        <x:v>https://pubmed.ncbi.nlm.nih.gov/41602088/</x:v>
      </x:c>
      <x:c r="Z30" s="2"/>
    </x:row>
    <x:row r="31">
      <x:c r="A31" s="2" t="str">
        <x:v>E030</x:v>
      </x:c>
      <x:c r="B31" s="2" t="n">
        <x:v>2025</x:v>
      </x:c>
      <x:c r="C31" s="48" t="n">
        <x:v>45664</x:v>
      </x:c>
      <x:c r="D31" s="2" t="str">
        <x:v>Aging</x:v>
      </x:c>
      <x:c r="E31" s="2" t="str">
        <x:v>Frailty</x:v>
      </x:c>
      <x:c r="F31" s="2" t="str">
        <x:v>Methodology landscape</x:v>
      </x:c>
      <x:c r="G31" s="2" t="str">
        <x:v>Systematic review</x:v>
      </x:c>
      <x:c r="H31" s="2" t="n">
        <x:v>181</x:v>
      </x:c>
      <x:c r="I31" s="2" t="str">
        <x:v>articles</x:v>
      </x:c>
      <x:c r="J31" s="2" t="n">
        <x:v>181</x:v>
      </x:c>
      <x:c r="K31" s="2" t="str">
        <x:v>Routinely collected data; wearables in subset</x:v>
      </x:c>
      <x:c r="L31" s="2" t="str">
        <x:v>Functional, diagnosis, cognition; wearable longitudinal data</x:v>
      </x:c>
      <x:c r="M31" s="2" t="str">
        <x:v>Generalized linear, survival, nonlinear ML</x:v>
      </x:c>
      <x:c r="N31" s="2" t="str">
        <x:v>What methods and predictors dominate frailty modeling?</x:v>
      </x:c>
      <x:c r="O31" s="2" t="str">
        <x:v>181 articles; top predictors: diagnoses, functional performance, cognition; mortality/admission/long stay common outcomes.</x:v>
      </x:c>
      <x:c r="P31" s="2" t="str">
        <x:v>Literature before 2025 publication</x:v>
      </x:c>
      <x:c r="Q31" s="2" t="str">
        <x:v>Older</x:v>
      </x:c>
      <x:c r="R31" s="2" t="str">
        <x:v>Mixed</x:v>
      </x:c>
      <x:c r="S31" s="2" t="str">
        <x:v>Mostly cross-sectional</x:v>
      </x:c>
      <x:c r="T31" s="2" t="str">
        <x:v>Mixed</x:v>
      </x:c>
      <x:c r="U31" s="2" t="str">
        <x:v>Moderate</x:v>
      </x:c>
      <x:c r="V31" s="2" t="str">
        <x:v>Classical ML and cross-sectional data dominate; limited evidence nonlinear models outperform linear methods.</x:v>
      </x:c>
      <x:c r="W31" s="2" t="str">
        <x:v>10.1109/JBHI.2024.3430226</x:v>
      </x:c>
      <x:c r="X31" s="2" t="str">
        <x:v>39024091</x:v>
      </x:c>
      <x:c r="Y31" s="2" t="str">
        <x:v>https://pubmed.ncbi.nlm.nih.gov/39024091/</x:v>
      </x:c>
      <x:c r="Z31" s="2"/>
    </x:row>
    <x:row r="32">
      <x:c r="A32" s="2" t="str">
        <x:v>E031</x:v>
      </x:c>
      <x:c r="B32" s="2" t="n">
        <x:v>2025</x:v>
      </x:c>
      <x:c r="C32" s="48"/>
      <x:c r="D32" s="2" t="str">
        <x:v>Cardiovascular</x:v>
      </x:c>
      <x:c r="E32" s="2" t="str">
        <x:v>Real-time cardiovascular monitoring</x:v>
      </x:c>
      <x:c r="F32" s="2" t="str">
        <x:v>Translation readiness</x:v>
      </x:c>
      <x:c r="G32" s="2" t="str">
        <x:v>Scoping review</x:v>
      </x:c>
      <x:c r="H32" s="2" t="n">
        <x:v>19</x:v>
      </x:c>
      <x:c r="I32" s="2" t="str">
        <x:v>studies</x:v>
      </x:c>
      <x:c r="J32" s="2" t="n">
        <x:v>19</x:v>
      </x:c>
      <x:c r="K32" s="2" t="str">
        <x:v>Wearable devices</x:v>
      </x:c>
      <x:c r="L32" s="2" t="str">
        <x:v>Mixed cardiovascular sensors</x:v>
      </x:c>
      <x:c r="M32" s="2" t="str">
        <x:v>AI real-time algorithms</x:v>
      </x:c>
      <x:c r="N32" s="2" t="str">
        <x:v>How much real-time wearable cardiovascular AI is clinically validated?</x:v>
      </x:c>
      <x:c r="O32" s="2" t="str">
        <x:v>19/2,385 screened records met criteria; many relied on public datasets; real-time operational characteristics often underreported.</x:v>
      </x:c>
      <x:c r="P32" s="2" t="str">
        <x:v>Recent mixed years</x:v>
      </x:c>
      <x:c r="Q32" s="2" t="str">
        <x:v>Limited</x:v>
      </x:c>
      <x:c r="R32" s="2" t="str">
        <x:v>Limited real-world</x:v>
      </x:c>
      <x:c r="S32" s="2" t="str">
        <x:v>Mixed</x:v>
      </x:c>
      <x:c r="T32" s="2" t="str">
        <x:v>Moderate</x:v>
      </x:c>
      <x:c r="U32" s="2" t="str">
        <x:v>Small field, public-dataset reliance and weak operational reporting.</x:v>
      </x:c>
      <x:c r="V32" s="2" t="str">
        <x:v>10.2196/72074</x:v>
      </x:c>
      <x:c r="W32" s="2" t="str">
        <x:v>41218203</x:v>
      </x:c>
      <x:c r="X32" s="2" t="str">
        <x:v>https://pubmed.ncbi.nlm.nih.gov/41218203/</x:v>
      </x:c>
      <x:c r="Y32" s="2"/>
      <x:c r="Z32" s="2"/>
    </x:row>
    <x:row r="33">
      <x:c r="A33" s="2" t="str">
        <x:v>E032</x:v>
      </x:c>
      <x:c r="B33" s="2" t="n">
        <x:v>2025</x:v>
      </x:c>
      <x:c r="C33" s="48"/>
      <x:c r="D33" s="2" t="str">
        <x:v>Frontier</x:v>
      </x:c>
      <x:c r="E33" s="2" t="str">
        <x:v>Human digital twins</x:v>
      </x:c>
      <x:c r="F33" s="2" t="str">
        <x:v>Maturity / governance</x:v>
      </x:c>
      <x:c r="G33" s="2" t="str">
        <x:v>Scoping review</x:v>
      </x:c>
      <x:c r="H33" s="2" t="n">
        <x:v>149</x:v>
      </x:c>
      <x:c r="I33" s="2" t="str">
        <x:v>studies</x:v>
      </x:c>
      <x:c r="J33" s="2" t="n">
        <x:v>149</x:v>
      </x:c>
      <x:c r="K33" s="2" t="str">
        <x:v>Mixed healthcare data</x:v>
      </x:c>
      <x:c r="L33" s="2" t="str">
        <x:v>Wearables + clinical data in subset</x:v>
      </x:c>
      <x:c r="M33" s="2" t="str">
        <x:v>Digital twin frameworks</x:v>
      </x:c>
      <x:c r="N33" s="2" t="str">
        <x:v>How many health digital twins meet formal criteria?</x:v>
      </x:c>
      <x:c r="O33" s="2" t="str">
        <x:v>18/149 (12.08%) met NASEM criteria; only 2/149 mentioned VVUQ.</x:v>
      </x:c>
      <x:c r="P33" s="2" t="str">
        <x:v>Literature Jan 2017-Jul 2024</x:v>
      </x:c>
      <x:c r="Q33" s="2" t="str">
        <x:v>Older</x:v>
      </x:c>
      <x:c r="R33" s="2" t="str">
        <x:v>Limited</x:v>
      </x:c>
      <x:c r="S33" s="2" t="str">
        <x:v>Mixed</x:v>
      </x:c>
      <x:c r="T33" s="2" t="str">
        <x:v>Mixed</x:v>
      </x:c>
      <x:c r="U33" s="2" t="str">
        <x:v>Early</x:v>
      </x:c>
      <x:c r="V33" s="2" t="str">
        <x:v>Terminology is ahead of validated implementation.</x:v>
      </x:c>
      <x:c r="W33" s="2" t="str">
        <x:v>10.1038/s41746-025-01910-w</x:v>
      </x:c>
      <x:c r="X33" s="2" t="str">
        <x:v>41028914</x:v>
      </x:c>
      <x:c r="Y33" s="2" t="str">
        <x:v>https://pubmed.ncbi.nlm.nih.gov/41028914/</x:v>
      </x:c>
      <x:c r="Z33" s="2"/>
    </x:row>
    <x:row r="34">
      <x:c r="A34" s="2" t="str">
        <x:v>E033</x:v>
      </x:c>
      <x:c r="B34" s="2" t="n">
        <x:v>2026</x:v>
      </x:c>
      <x:c r="C34" s="48"/>
      <x:c r="D34" s="2" t="str">
        <x:v>Frontier</x:v>
      </x:c>
      <x:c r="E34" s="2" t="str">
        <x:v>Diabetes digital twins</x:v>
      </x:c>
      <x:c r="F34" s="2" t="str">
        <x:v>Maturity / implementation</x:v>
      </x:c>
      <x:c r="G34" s="2" t="str">
        <x:v>Scoping review</x:v>
      </x:c>
      <x:c r="H34" s="2" t="n">
        <x:v>28</x:v>
      </x:c>
      <x:c r="I34" s="2" t="str">
        <x:v>studies</x:v>
      </x:c>
      <x:c r="J34" s="2" t="n">
        <x:v>28</x:v>
      </x:c>
      <x:c r="K34" s="2" t="str">
        <x:v>CGM, wearables, EHR, lifestyle inputs</x:v>
      </x:c>
      <x:c r="L34" s="2" t="str">
        <x:v>CGM + multimodal</x:v>
      </x:c>
      <x:c r="M34" s="2" t="str">
        <x:v>Data-driven, hybrid, simulation digital twins</x:v>
      </x:c>
      <x:c r="N34" s="2" t="str">
        <x:v>How mature are digital twins for diabetes management?</x:v>
      </x:c>
      <x:c r="O34" s="2" t="str">
        <x:v>28 empirical studies; validation mainly retrospective or simulation-based; few clinical trials.</x:v>
      </x:c>
      <x:c r="P34" s="2" t="str">
        <x:v>Studies through Apr 2025</x:v>
      </x:c>
      <x:c r="Q34" s="2" t="str">
        <x:v>Mixed</x:v>
      </x:c>
      <x:c r="R34" s="2" t="str">
        <x:v>Limited</x:v>
      </x:c>
      <x:c r="S34" s="2" t="str">
        <x:v>Few prospective</x:v>
      </x:c>
      <x:c r="T34" s="2" t="str">
        <x:v>Mixed</x:v>
      </x:c>
      <x:c r="U34" s="2" t="str">
        <x:v>Early</x:v>
      </x:c>
      <x:c r="V34" s="2" t="str">
        <x:v>Heterogeneous reporting, limited human oversight and prospective validation.</x:v>
      </x:c>
      <x:c r="W34" s="2" t="str">
        <x:v>10.2196/83059</x:v>
      </x:c>
      <x:c r="X34" s="2" t="str">
        <x:v>42313825</x:v>
      </x:c>
      <x:c r="Y34" s="2" t="str">
        <x:v>https://pubmed.ncbi.nlm.nih.gov/42313825/</x:v>
      </x:c>
      <x:c r="Z34" s="2"/>
    </x:row>
    <x:row r="35">
      <x:c r="A35" s="2" t="str">
        <x:v>E034</x:v>
      </x:c>
      <x:c r="B35" s="2" t="n">
        <x:v>2026</x:v>
      </x:c>
      <x:c r="C35" s="48"/>
      <x:c r="D35" s="2" t="str">
        <x:v>Infrastructure</x:v>
      </x:c>
      <x:c r="E35" s="2" t="str">
        <x:v>Federated learning</x:v>
      </x:c>
      <x:c r="F35" s="2" t="str">
        <x:v>Deployment readiness</x:v>
      </x:c>
      <x:c r="G35" s="2" t="str">
        <x:v>Systematic methodological review</x:v>
      </x:c>
      <x:c r="H35" s="2" t="n">
        <x:v>97</x:v>
      </x:c>
      <x:c r="I35" s="2" t="str">
        <x:v>articles</x:v>
      </x:c>
      <x:c r="J35" s="2" t="n">
        <x:v>97</x:v>
      </x:c>
      <x:c r="K35" s="2" t="str">
        <x:v>Mixed biomedical data</x:v>
      </x:c>
      <x:c r="L35" s="2" t="str">
        <x:v>Mixed</x:v>
      </x:c>
      <x:c r="M35" s="2" t="str">
        <x:v>Federated learning</x:v>
      </x:c>
      <x:c r="N35" s="2" t="str">
        <x:v>What prevents FL from clinical deployment?</x:v>
      </x:c>
      <x:c r="O35" s="2" t="str">
        <x:v>8,412 records screened; 97 included. Optimization/privacy innovation strong; governance and design-time evaluation remain limited.</x:v>
      </x:c>
      <x:c r="P35" s="2" t="str">
        <x:v>Articles Jan 2017-Mar 2025</x:v>
      </x:c>
      <x:c r="Q35" s="2" t="str">
        <x:v>Mixed</x:v>
      </x:c>
      <x:c r="R35" s="2" t="str">
        <x:v>Variable</x:v>
      </x:c>
      <x:c r="S35" s="2" t="str">
        <x:v>Mostly methodological</x:v>
      </x:c>
      <x:c r="T35" s="2" t="str">
        <x:v>Mixed</x:v>
      </x:c>
      <x:c r="U35" s="2" t="str">
        <x:v>Early/Moderate</x:v>
      </x:c>
      <x:c r="V35" s="2" t="str">
        <x:v>Not wearable-specific clinical-effectiveness evidence.</x:v>
      </x:c>
      <x:c r="W35" s="2" t="str">
        <x:v>10.1016/j.ijmedinf.2026.106365</x:v>
      </x:c>
      <x:c r="X35" s="2" t="str">
        <x:v>41785737</x:v>
      </x:c>
      <x:c r="Y35" s="2" t="str">
        <x:v>https://pubmed.ncbi.nlm.nih.gov/41785737/</x:v>
      </x:c>
      <x:c r="Z35" s="2"/>
    </x:row>
    <x:row r="36">
      <x:c r="A36" s="2" t="str">
        <x:v>E035</x:v>
      </x:c>
      <x:c r="B36" s="2" t="n">
        <x:v>2026</x:v>
      </x:c>
      <x:c r="C36" s="48"/>
      <x:c r="D36" s="2" t="str">
        <x:v>Infrastructure</x:v>
      </x:c>
      <x:c r="E36" s="2" t="str">
        <x:v>Cardiovascular federated learning</x:v>
      </x:c>
      <x:c r="F36" s="2" t="str">
        <x:v>Deployment readiness</x:v>
      </x:c>
      <x:c r="G36" s="2" t="str">
        <x:v>Systematic review</x:v>
      </x:c>
      <x:c r="H36" s="2" t="n">
        <x:v>22</x:v>
      </x:c>
      <x:c r="I36" s="2" t="str">
        <x:v>studies</x:v>
      </x:c>
      <x:c r="J36" s="2" t="n">
        <x:v>22</x:v>
      </x:c>
      <x:c r="K36" s="2" t="str">
        <x:v>EHR, ECG, phonocardiogram, echo, imaging, wearables</x:v>
      </x:c>
      <x:c r="L36" s="2" t="str">
        <x:v>Mixed cardiovascular data</x:v>
      </x:c>
      <x:c r="M36" s="2" t="str">
        <x:v>Federated learning</x:v>
      </x:c>
      <x:c r="N36" s="2" t="str">
        <x:v>Is FL for cardiovascular prediction deployment-ready?</x:v>
      </x:c>
      <x:c r="O36" s="2" t="str">
        <x:v>Evidence mainly retrospective; held-out-site validation, calibration and subgroup reporting inconsistent.</x:v>
      </x:c>
      <x:c r="P36" s="2" t="str">
        <x:v>Studies 2022-2025</x:v>
      </x:c>
      <x:c r="Q36" s="2" t="str">
        <x:v>Mixed</x:v>
      </x:c>
      <x:c r="R36" s="2" t="str">
        <x:v>Limited</x:v>
      </x:c>
      <x:c r="S36" s="2" t="str">
        <x:v>Mostly retrospective</x:v>
      </x:c>
      <x:c r="T36" s="2" t="str">
        <x:v>Mixed</x:v>
      </x:c>
      <x:c r="U36" s="2" t="str">
        <x:v>Early/Moderate</x:v>
      </x:c>
      <x:c r="V36" s="2" t="str">
        <x:v>Limited deployment-grade reporting and external validation.</x:v>
      </x:c>
      <x:c r="W36" s="2" t="str">
        <x:v>10.3389/fcvm.2026.1831342</x:v>
      </x:c>
      <x:c r="X36" s="2" t="str">
        <x:v>42338727</x:v>
      </x:c>
      <x:c r="Y36" s="2" t="str">
        <x:v>https://pubmed.ncbi.nlm.nih.gov/42338727/</x:v>
      </x:c>
      <x:c r="Z36" s="2"/>
    </x:row>
    <x:row r="37">
      <x:c r="A37" s="2"/>
      <x:c r="B37" s="2"/>
      <x:c r="C37" s="48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48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48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48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48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48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48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48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48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48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48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48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48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48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48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48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48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48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48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48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48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48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48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48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48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48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48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48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48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48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48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48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48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48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48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48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48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48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48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48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48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48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48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48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48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48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48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48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48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48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48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48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48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48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48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48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48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48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48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48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48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48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48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48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48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48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48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48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48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48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48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48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48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48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48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48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48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48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48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48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48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48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48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48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48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48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48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48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48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48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48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48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48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48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48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48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48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48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48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48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48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48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48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48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48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48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48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48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48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48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48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48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48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48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48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48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48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48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48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48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48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48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48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48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48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48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48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48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48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48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48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48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48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48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48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48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48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48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48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48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48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48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48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48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48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48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48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48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48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48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48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48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48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48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48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48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48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48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48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48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48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48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48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48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>
      <x:c r="A201" s="2"/>
      <x:c r="B201" s="2"/>
      <x:c r="C201" s="48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>
      <x:c r="A202" s="2"/>
      <x:c r="B202" s="2"/>
      <x:c r="C202" s="48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>
      <x:c r="A203" s="2"/>
      <x:c r="B203" s="2"/>
      <x:c r="C203" s="48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>
      <x:c r="A204" s="2"/>
      <x:c r="B204" s="2"/>
      <x:c r="C204" s="48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>
      <x:c r="A205" s="2"/>
      <x:c r="B205" s="2"/>
      <x:c r="C205" s="48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>
      <x:c r="A206" s="2"/>
      <x:c r="B206" s="2"/>
      <x:c r="C206" s="48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>
      <x:c r="A207" s="2"/>
      <x:c r="B207" s="2"/>
      <x:c r="C207" s="48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>
      <x:c r="A208" s="2"/>
      <x:c r="B208" s="2"/>
      <x:c r="C208" s="48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>
      <x:c r="A209" s="2"/>
      <x:c r="B209" s="2"/>
      <x:c r="C209" s="48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>
      <x:c r="A210" s="2"/>
      <x:c r="B210" s="2"/>
      <x:c r="C210" s="48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>
      <x:c r="A211" s="2"/>
      <x:c r="B211" s="2"/>
      <x:c r="C211" s="48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>
      <x:c r="A212" s="2"/>
      <x:c r="B212" s="2"/>
      <x:c r="C212" s="48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>
      <x:c r="A213" s="2"/>
      <x:c r="B213" s="2"/>
      <x:c r="C213" s="48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>
      <x:c r="A214" s="2"/>
      <x:c r="B214" s="2"/>
      <x:c r="C214" s="48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>
      <x:c r="A215" s="2"/>
      <x:c r="B215" s="2"/>
      <x:c r="C215" s="48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>
      <x:c r="A216" s="2"/>
      <x:c r="B216" s="2"/>
      <x:c r="C216" s="48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>
      <x:c r="A217" s="2"/>
      <x:c r="B217" s="2"/>
      <x:c r="C217" s="48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>
      <x:c r="A218" s="2"/>
      <x:c r="B218" s="2"/>
      <x:c r="C218" s="48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>
      <x:c r="A219" s="2"/>
      <x:c r="B219" s="2"/>
      <x:c r="C219" s="48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>
      <x:c r="A220" s="2"/>
      <x:c r="B220" s="2"/>
      <x:c r="C220" s="48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>
      <x:c r="A221" s="2"/>
      <x:c r="B221" s="2"/>
      <x:c r="C221" s="48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>
      <x:c r="A222" s="2"/>
      <x:c r="B222" s="2"/>
      <x:c r="C222" s="48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>
      <x:c r="A223" s="2"/>
      <x:c r="B223" s="2"/>
      <x:c r="C223" s="48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>
      <x:c r="A224" s="2"/>
      <x:c r="B224" s="2"/>
      <x:c r="C224" s="48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>
      <x:c r="A225" s="2"/>
      <x:c r="B225" s="2"/>
      <x:c r="C225" s="48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>
      <x:c r="A226" s="2"/>
      <x:c r="B226" s="2"/>
      <x:c r="C226" s="48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>
      <x:c r="A227" s="2"/>
      <x:c r="B227" s="2"/>
      <x:c r="C227" s="48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>
      <x:c r="A228" s="2"/>
      <x:c r="B228" s="2"/>
      <x:c r="C228" s="48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>
      <x:c r="A229" s="2"/>
      <x:c r="B229" s="2"/>
      <x:c r="C229" s="48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>
      <x:c r="A230" s="2"/>
      <x:c r="B230" s="2"/>
      <x:c r="C230" s="48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>
      <x:c r="A231" s="2"/>
      <x:c r="B231" s="2"/>
      <x:c r="C231" s="48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>
      <x:c r="A232" s="2"/>
      <x:c r="B232" s="2"/>
      <x:c r="C232" s="48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>
      <x:c r="A233" s="2"/>
      <x:c r="B233" s="2"/>
      <x:c r="C233" s="48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>
      <x:c r="A234" s="2"/>
      <x:c r="B234" s="2"/>
      <x:c r="C234" s="48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>
      <x:c r="A235" s="2"/>
      <x:c r="B235" s="2"/>
      <x:c r="C235" s="48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>
      <x:c r="A236" s="2"/>
      <x:c r="B236" s="2"/>
      <x:c r="C236" s="48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>
      <x:c r="A237" s="2"/>
      <x:c r="B237" s="2"/>
      <x:c r="C237" s="48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>
      <x:c r="A238" s="2"/>
      <x:c r="B238" s="2"/>
      <x:c r="C238" s="48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>
      <x:c r="A239" s="2"/>
      <x:c r="B239" s="2"/>
      <x:c r="C239" s="48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>
      <x:c r="A240" s="2"/>
      <x:c r="B240" s="2"/>
      <x:c r="C240" s="48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>
      <x:c r="A241" s="2"/>
      <x:c r="B241" s="2"/>
      <x:c r="C241" s="48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>
      <x:c r="A242" s="2"/>
      <x:c r="B242" s="2"/>
      <x:c r="C242" s="48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>
      <x:c r="A243" s="2"/>
      <x:c r="B243" s="2"/>
      <x:c r="C243" s="48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>
      <x:c r="A244" s="2"/>
      <x:c r="B244" s="2"/>
      <x:c r="C244" s="48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>
      <x:c r="A245" s="2"/>
      <x:c r="B245" s="2"/>
      <x:c r="C245" s="48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>
      <x:c r="A246" s="2"/>
      <x:c r="B246" s="2"/>
      <x:c r="C246" s="48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>
      <x:c r="A247" s="2"/>
      <x:c r="B247" s="2"/>
      <x:c r="C247" s="48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>
      <x:c r="A248" s="2"/>
      <x:c r="B248" s="2"/>
      <x:c r="C248" s="48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>
      <x:c r="A249" s="2"/>
      <x:c r="B249" s="2"/>
      <x:c r="C249" s="48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>
      <x:c r="A250" s="2"/>
      <x:c r="B250" s="2"/>
      <x:c r="C250" s="48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  <x:row r="251">
      <x:c r="A251" s="2"/>
      <x:c r="B251" s="2"/>
      <x:c r="C251" s="48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</x:row>
    <x:row r="252">
      <x:c r="A252" s="2"/>
      <x:c r="B252" s="2"/>
      <x:c r="C252" s="48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</x:row>
    <x:row r="253">
      <x:c r="A253" s="2"/>
      <x:c r="B253" s="2"/>
      <x:c r="C253" s="48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</x:row>
    <x:row r="254">
      <x:c r="A254" s="2"/>
      <x:c r="B254" s="2"/>
      <x:c r="C254" s="48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</x:row>
    <x:row r="255">
      <x:c r="A255" s="2"/>
      <x:c r="B255" s="2"/>
      <x:c r="C255" s="48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</x:row>
    <x:row r="256">
      <x:c r="A256" s="2"/>
      <x:c r="B256" s="2"/>
      <x:c r="C256" s="48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</x:row>
    <x:row r="257">
      <x:c r="A257" s="2"/>
      <x:c r="B257" s="2"/>
      <x:c r="C257" s="48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</x:row>
    <x:row r="258">
      <x:c r="A258" s="2"/>
      <x:c r="B258" s="2"/>
      <x:c r="C258" s="48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</x:row>
    <x:row r="259">
      <x:c r="A259" s="2"/>
      <x:c r="B259" s="2"/>
      <x:c r="C259" s="48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</x:row>
    <x:row r="260">
      <x:c r="A260" s="2"/>
      <x:c r="B260" s="2"/>
      <x:c r="C260" s="48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</x:row>
    <x:row r="261">
      <x:c r="A261" s="2"/>
      <x:c r="B261" s="2"/>
      <x:c r="C261" s="48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</x:row>
    <x:row r="262">
      <x:c r="A262" s="2"/>
      <x:c r="B262" s="2"/>
      <x:c r="C262" s="48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</x:row>
    <x:row r="263">
      <x:c r="A263" s="2"/>
      <x:c r="B263" s="2"/>
      <x:c r="C263" s="48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</x:row>
    <x:row r="264">
      <x:c r="A264" s="2"/>
      <x:c r="B264" s="2"/>
      <x:c r="C264" s="48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</x:row>
    <x:row r="265">
      <x:c r="A265" s="2"/>
      <x:c r="B265" s="2"/>
      <x:c r="C265" s="48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</x:row>
    <x:row r="266">
      <x:c r="A266" s="2"/>
      <x:c r="B266" s="2"/>
      <x:c r="C266" s="48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</x:row>
    <x:row r="267">
      <x:c r="A267" s="2"/>
      <x:c r="B267" s="2"/>
      <x:c r="C267" s="48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</x:row>
    <x:row r="268">
      <x:c r="A268" s="2"/>
      <x:c r="B268" s="2"/>
      <x:c r="C268" s="48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</x:row>
    <x:row r="269">
      <x:c r="A269" s="2"/>
      <x:c r="B269" s="2"/>
      <x:c r="C269" s="48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</x:row>
    <x:row r="270">
      <x:c r="A270" s="2"/>
      <x:c r="B270" s="2"/>
      <x:c r="C270" s="48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</x:row>
    <x:row r="271">
      <x:c r="A271" s="2"/>
      <x:c r="B271" s="2"/>
      <x:c r="C271" s="48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</x:row>
    <x:row r="272">
      <x:c r="A272" s="2"/>
      <x:c r="B272" s="2"/>
      <x:c r="C272" s="48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</x:row>
    <x:row r="273">
      <x:c r="A273" s="2"/>
      <x:c r="B273" s="2"/>
      <x:c r="C273" s="48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</x:row>
    <x:row r="274">
      <x:c r="A274" s="2"/>
      <x:c r="B274" s="2"/>
      <x:c r="C274" s="48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</x:row>
    <x:row r="275">
      <x:c r="A275" s="2"/>
      <x:c r="B275" s="2"/>
      <x:c r="C275" s="48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</x:row>
    <x:row r="276">
      <x:c r="A276" s="2"/>
      <x:c r="B276" s="2"/>
      <x:c r="C276" s="48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</x:row>
    <x:row r="277">
      <x:c r="A277" s="2"/>
      <x:c r="B277" s="2"/>
      <x:c r="C277" s="48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</x:row>
    <x:row r="278">
      <x:c r="A278" s="2"/>
      <x:c r="B278" s="2"/>
      <x:c r="C278" s="48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</x:row>
    <x:row r="279">
      <x:c r="A279" s="2"/>
      <x:c r="B279" s="2"/>
      <x:c r="C279" s="48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</x:row>
    <x:row r="280">
      <x:c r="A280" s="2"/>
      <x:c r="B280" s="2"/>
      <x:c r="C280" s="48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</x:row>
    <x:row r="281">
      <x:c r="A281" s="2"/>
      <x:c r="B281" s="2"/>
      <x:c r="C281" s="48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</x:row>
    <x:row r="282">
      <x:c r="A282" s="2"/>
      <x:c r="B282" s="2"/>
      <x:c r="C282" s="48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</x:row>
    <x:row r="283">
      <x:c r="A283" s="2"/>
      <x:c r="B283" s="2"/>
      <x:c r="C283" s="48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</x:row>
    <x:row r="284">
      <x:c r="A284" s="2"/>
      <x:c r="B284" s="2"/>
      <x:c r="C284" s="48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</x:row>
    <x:row r="285">
      <x:c r="A285" s="2"/>
      <x:c r="B285" s="2"/>
      <x:c r="C285" s="48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</x:row>
    <x:row r="286">
      <x:c r="A286" s="2"/>
      <x:c r="B286" s="2"/>
      <x:c r="C286" s="48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</x:row>
    <x:row r="287">
      <x:c r="A287" s="2"/>
      <x:c r="B287" s="2"/>
      <x:c r="C287" s="48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</x:row>
    <x:row r="288">
      <x:c r="A288" s="2"/>
      <x:c r="B288" s="2"/>
      <x:c r="C288" s="48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</x:row>
    <x:row r="289">
      <x:c r="A289" s="2"/>
      <x:c r="B289" s="2"/>
      <x:c r="C289" s="48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</x:row>
    <x:row r="290">
      <x:c r="A290" s="2"/>
      <x:c r="B290" s="2"/>
      <x:c r="C290" s="48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</x:row>
    <x:row r="291">
      <x:c r="A291" s="2"/>
      <x:c r="B291" s="2"/>
      <x:c r="C291" s="48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</x:row>
    <x:row r="292">
      <x:c r="A292" s="2"/>
      <x:c r="B292" s="2"/>
      <x:c r="C292" s="48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</x:row>
    <x:row r="293">
      <x:c r="A293" s="2"/>
      <x:c r="B293" s="2"/>
      <x:c r="C293" s="48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</x:row>
    <x:row r="294">
      <x:c r="A294" s="2"/>
      <x:c r="B294" s="2"/>
      <x:c r="C294" s="48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</x:row>
    <x:row r="295">
      <x:c r="A295" s="2"/>
      <x:c r="B295" s="2"/>
      <x:c r="C295" s="48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</x:row>
    <x:row r="296">
      <x:c r="A296" s="2"/>
      <x:c r="B296" s="2"/>
      <x:c r="C296" s="48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</x:row>
    <x:row r="297">
      <x:c r="A297" s="2"/>
      <x:c r="B297" s="2"/>
      <x:c r="C297" s="48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</x:row>
    <x:row r="298">
      <x:c r="A298" s="2"/>
      <x:c r="B298" s="2"/>
      <x:c r="C298" s="48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</x:row>
    <x:row r="299">
      <x:c r="A299" s="2"/>
      <x:c r="B299" s="2"/>
      <x:c r="C299" s="48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</x:row>
    <x:row r="300">
      <x:c r="A300" s="2"/>
      <x:c r="B300" s="2"/>
      <x:c r="C300" s="48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</x:row>
  </x:sheetData>
  <x:pageMargins left="0.7" right="0.7" top="0.75" bottom="0.75" header="0.3" footer="0.3"/>
  <x:tableParts count="1">
    <x:tablePart xmlns:r="http://schemas.openxmlformats.org/officeDocument/2006/relationships" r:id="R1d8af11fa15f4bb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22" hidden="0" customWidth="1"/>
    <x:col min="4" max="4" width="22" hidden="0" customWidth="1"/>
    <x:col min="5" max="5" width="30" hidden="0" customWidth="1"/>
    <x:col min="6" max="6" width="14" hidden="0" customWidth="1"/>
    <x:col min="7" max="7" width="14" hidden="0" customWidth="1"/>
    <x:col min="8" max="8" width="14" hidden="0" customWidth="1"/>
    <x:col min="9" max="9" width="32" hidden="0" customWidth="1"/>
    <x:col min="10" max="10" width="18" hidden="0" customWidth="1"/>
    <x:col min="11" max="11" width="34" hidden="0" customWidth="1"/>
  </x:cols>
  <x:sheetData>
    <x:row r="1" ht="34" customHeight="1">
      <x:c r="A1" s="8" t="str">
        <x:v>Metric_ID</x:v>
      </x:c>
      <x:c r="B1" s="8" t="str">
        <x:v>Evidence_ID</x:v>
      </x:c>
      <x:c r="C1" s="8" t="str">
        <x:v>Domain</x:v>
      </x:c>
      <x:c r="D1" s="8" t="str">
        <x:v>Chart_Group</x:v>
      </x:c>
      <x:c r="E1" s="8" t="str">
        <x:v>Metric</x:v>
      </x:c>
      <x:c r="F1" s="8" t="str">
        <x:v>Value</x:v>
      </x:c>
      <x:c r="G1" s="8" t="str">
        <x:v>Unit</x:v>
      </x:c>
      <x:c r="H1" s="8" t="str">
        <x:v>Direction</x:v>
      </x:c>
      <x:c r="I1" s="8" t="str">
        <x:v>Denominator_or_Context</x:v>
      </x:c>
      <x:c r="J1" s="8" t="str">
        <x:v>Metric_Type</x:v>
      </x:c>
      <x:c r="K1" s="8" t="str">
        <x:v>Source_URL</x:v>
      </x:c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2" t="str">
        <x:v>M001</x:v>
      </x:c>
      <x:c r="B2" s="2" t="str">
        <x:v>E002</x:v>
      </x:c>
      <x:c r="C2" s="2" t="str">
        <x:v>Cardiovascular</x:v>
      </x:c>
      <x:c r="D2" s="2" t="str">
        <x:v>AF diagnostic meta-analysis</x:v>
      </x:c>
      <x:c r="E2" s="2" t="str">
        <x:v>Overall sensitivity</x:v>
      </x:c>
      <x:c r="F2" s="2" t="n">
        <x:v>95</x:v>
      </x:c>
      <x:c r="G2" s="2" t="str">
        <x:v>%</x:v>
      </x:c>
      <x:c r="H2" s="2" t="str">
        <x:v>Higher is better</x:v>
      </x:c>
      <x:c r="I2" s="2" t="str">
        <x:v>26 studies; 17,349 patients</x:v>
      </x:c>
      <x:c r="J2" s="2" t="str">
        <x:v>Diagnostic</x:v>
      </x:c>
      <x:c r="K2" s="2" t="str">
        <x:v>https://pubmed.ncbi.nlm.nih.gov/41182224/</x:v>
      </x:c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2" t="str">
        <x:v>M002</x:v>
      </x:c>
      <x:c r="B3" s="2" t="str">
        <x:v>E002</x:v>
      </x:c>
      <x:c r="C3" s="2" t="str">
        <x:v>Cardiovascular</x:v>
      </x:c>
      <x:c r="D3" s="2" t="str">
        <x:v>AF diagnostic meta-analysis</x:v>
      </x:c>
      <x:c r="E3" s="2" t="str">
        <x:v>Overall specificity</x:v>
      </x:c>
      <x:c r="F3" s="2" t="n">
        <x:v>97</x:v>
      </x:c>
      <x:c r="G3" s="2" t="str">
        <x:v>%</x:v>
      </x:c>
      <x:c r="H3" s="2" t="str">
        <x:v>Higher is better</x:v>
      </x:c>
      <x:c r="I3" s="2" t="str">
        <x:v>26 studies; 17,349 patients</x:v>
      </x:c>
      <x:c r="J3" s="2" t="str">
        <x:v>Diagnostic</x:v>
      </x:c>
      <x:c r="K3" s="2" t="str">
        <x:v>https://pubmed.ncbi.nlm.nih.gov/41182224/</x:v>
      </x:c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2" t="str">
        <x:v>M003</x:v>
      </x:c>
      <x:c r="B4" s="2" t="str">
        <x:v>E002</x:v>
      </x:c>
      <x:c r="C4" s="2" t="str">
        <x:v>Cardiovascular</x:v>
      </x:c>
      <x:c r="D4" s="2" t="str">
        <x:v>AF diagnostic meta-analysis</x:v>
      </x:c>
      <x:c r="E4" s="2" t="str">
        <x:v>Overall AUC</x:v>
      </x:c>
      <x:c r="F4" s="2" t="n">
        <x:v>0.97</x:v>
      </x:c>
      <x:c r="G4" s="2" t="str">
        <x:v>AUC</x:v>
      </x:c>
      <x:c r="H4" s="2" t="str">
        <x:v>Higher is better</x:v>
      </x:c>
      <x:c r="I4" s="2" t="str">
        <x:v>26 studies; 17,349 patients</x:v>
      </x:c>
      <x:c r="J4" s="2" t="str">
        <x:v>Diagnostic</x:v>
      </x:c>
      <x:c r="K4" s="2" t="str">
        <x:v>https://pubmed.ncbi.nlm.nih.gov/41182224/</x:v>
      </x:c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>
      <x:c r="A5" s="2" t="str">
        <x:v>M004</x:v>
      </x:c>
      <x:c r="B5" s="2" t="str">
        <x:v>E002</x:v>
      </x:c>
      <x:c r="C5" s="2" t="str">
        <x:v>Cardiovascular</x:v>
      </x:c>
      <x:c r="D5" s="2" t="str">
        <x:v>AF diagnostic meta-analysis</x:v>
      </x:c>
      <x:c r="E5" s="2" t="str">
        <x:v>Apple sensitivity</x:v>
      </x:c>
      <x:c r="F5" s="2" t="n">
        <x:v>94</x:v>
      </x:c>
      <x:c r="G5" s="2" t="str">
        <x:v>%</x:v>
      </x:c>
      <x:c r="H5" s="2" t="str">
        <x:v>Higher is better</x:v>
      </x:c>
      <x:c r="I5" s="2" t="str">
        <x:v>26 studies; 17,349 patients</x:v>
      </x:c>
      <x:c r="J5" s="2" t="str">
        <x:v>Diagnostic</x:v>
      </x:c>
      <x:c r="K5" s="2" t="str">
        <x:v>https://pubmed.ncbi.nlm.nih.gov/41182224/</x:v>
      </x:c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>
      <x:c r="A6" s="2" t="str">
        <x:v>M005</x:v>
      </x:c>
      <x:c r="B6" s="2" t="str">
        <x:v>E002</x:v>
      </x:c>
      <x:c r="C6" s="2" t="str">
        <x:v>Cardiovascular</x:v>
      </x:c>
      <x:c r="D6" s="2" t="str">
        <x:v>AF diagnostic meta-analysis</x:v>
      </x:c>
      <x:c r="E6" s="2" t="str">
        <x:v>Apple specificity</x:v>
      </x:c>
      <x:c r="F6" s="2" t="n">
        <x:v>97</x:v>
      </x:c>
      <x:c r="G6" s="2" t="str">
        <x:v>%</x:v>
      </x:c>
      <x:c r="H6" s="2" t="str">
        <x:v>Higher is better</x:v>
      </x:c>
      <x:c r="I6" s="2" t="str">
        <x:v>26 studies; 17,349 patients</x:v>
      </x:c>
      <x:c r="J6" s="2" t="str">
        <x:v>Diagnostic</x:v>
      </x:c>
      <x:c r="K6" s="2" t="str">
        <x:v>https://pubmed.ncbi.nlm.nih.gov/41182224/</x:v>
      </x:c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>
      <x:c r="A7" s="2" t="str">
        <x:v>M006</x:v>
      </x:c>
      <x:c r="B7" s="2" t="str">
        <x:v>E002</x:v>
      </x:c>
      <x:c r="C7" s="2" t="str">
        <x:v>Cardiovascular</x:v>
      </x:c>
      <x:c r="D7" s="2" t="str">
        <x:v>AF diagnostic meta-analysis</x:v>
      </x:c>
      <x:c r="E7" s="2" t="str">
        <x:v>Samsung sensitivity</x:v>
      </x:c>
      <x:c r="F7" s="2" t="n">
        <x:v>97</x:v>
      </x:c>
      <x:c r="G7" s="2" t="str">
        <x:v>%</x:v>
      </x:c>
      <x:c r="H7" s="2" t="str">
        <x:v>Higher is better</x:v>
      </x:c>
      <x:c r="I7" s="2" t="str">
        <x:v>26 studies; 17,349 patients</x:v>
      </x:c>
      <x:c r="J7" s="2" t="str">
        <x:v>Diagnostic</x:v>
      </x:c>
      <x:c r="K7" s="2" t="str">
        <x:v>https://pubmed.ncbi.nlm.nih.gov/41182224/</x:v>
      </x:c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>
      <x:c r="A8" s="2" t="str">
        <x:v>M007</x:v>
      </x:c>
      <x:c r="B8" s="2" t="str">
        <x:v>E002</x:v>
      </x:c>
      <x:c r="C8" s="2" t="str">
        <x:v>Cardiovascular</x:v>
      </x:c>
      <x:c r="D8" s="2" t="str">
        <x:v>AF diagnostic meta-analysis</x:v>
      </x:c>
      <x:c r="E8" s="2" t="str">
        <x:v>Samsung specificity</x:v>
      </x:c>
      <x:c r="F8" s="2" t="n">
        <x:v>96</x:v>
      </x:c>
      <x:c r="G8" s="2" t="str">
        <x:v>%</x:v>
      </x:c>
      <x:c r="H8" s="2" t="str">
        <x:v>Higher is better</x:v>
      </x:c>
      <x:c r="I8" s="2" t="str">
        <x:v>26 studies; 17,349 patients</x:v>
      </x:c>
      <x:c r="J8" s="2" t="str">
        <x:v>Diagnostic</x:v>
      </x:c>
      <x:c r="K8" s="2" t="str">
        <x:v>https://pubmed.ncbi.nlm.nih.gov/41182224/</x:v>
      </x:c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>
      <x:c r="A9" s="2" t="str">
        <x:v>M008</x:v>
      </x:c>
      <x:c r="B9" s="2" t="str">
        <x:v>E002</x:v>
      </x:c>
      <x:c r="C9" s="2" t="str">
        <x:v>Cardiovascular</x:v>
      </x:c>
      <x:c r="D9" s="2" t="str">
        <x:v>AF diagnostic meta-analysis</x:v>
      </x:c>
      <x:c r="E9" s="2" t="str">
        <x:v>Withings sensitivity</x:v>
      </x:c>
      <x:c r="F9" s="2" t="n">
        <x:v>89</x:v>
      </x:c>
      <x:c r="G9" s="2" t="str">
        <x:v>%</x:v>
      </x:c>
      <x:c r="H9" s="2" t="str">
        <x:v>Higher is better</x:v>
      </x:c>
      <x:c r="I9" s="2" t="str">
        <x:v>26 studies; 17,349 patients</x:v>
      </x:c>
      <x:c r="J9" s="2" t="str">
        <x:v>Diagnostic</x:v>
      </x:c>
      <x:c r="K9" s="2" t="str">
        <x:v>https://pubmed.ncbi.nlm.nih.gov/41182224/</x:v>
      </x:c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>
      <x:c r="A10" s="2" t="str">
        <x:v>M009</x:v>
      </x:c>
      <x:c r="B10" s="2" t="str">
        <x:v>E002</x:v>
      </x:c>
      <x:c r="C10" s="2" t="str">
        <x:v>Cardiovascular</x:v>
      </x:c>
      <x:c r="D10" s="2" t="str">
        <x:v>AF diagnostic meta-analysis</x:v>
      </x:c>
      <x:c r="E10" s="2" t="str">
        <x:v>Withings specificity</x:v>
      </x:c>
      <x:c r="F10" s="2" t="n">
        <x:v>95</x:v>
      </x:c>
      <x:c r="G10" s="2" t="str">
        <x:v>%</x:v>
      </x:c>
      <x:c r="H10" s="2" t="str">
        <x:v>Higher is better</x:v>
      </x:c>
      <x:c r="I10" s="2" t="str">
        <x:v>26 studies; 17,349 patients</x:v>
      </x:c>
      <x:c r="J10" s="2" t="str">
        <x:v>Diagnostic</x:v>
      </x:c>
      <x:c r="K10" s="2" t="str">
        <x:v>https://pubmed.ncbi.nlm.nih.gov/41182224/</x:v>
      </x:c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>
      <x:c r="A11" s="2" t="str">
        <x:v>M010</x:v>
      </x:c>
      <x:c r="B11" s="2" t="str">
        <x:v>E002</x:v>
      </x:c>
      <x:c r="C11" s="2" t="str">
        <x:v>Cardiovascular</x:v>
      </x:c>
      <x:c r="D11" s="2" t="str">
        <x:v>AF diagnostic meta-analysis</x:v>
      </x:c>
      <x:c r="E11" s="2" t="str">
        <x:v>Overall sensitivity heterogeneity I²</x:v>
      </x:c>
      <x:c r="F11" s="2" t="n">
        <x:v>95</x:v>
      </x:c>
      <x:c r="G11" s="2" t="str">
        <x:v>%</x:v>
      </x:c>
      <x:c r="H11" s="2" t="str">
        <x:v>Lower is better</x:v>
      </x:c>
      <x:c r="I11" s="2" t="str">
        <x:v>26 studies; 17,349 patients</x:v>
      </x:c>
      <x:c r="J11" s="2" t="str">
        <x:v>Diagnostic</x:v>
      </x:c>
      <x:c r="K11" s="2" t="str">
        <x:v>https://pubmed.ncbi.nlm.nih.gov/41182224/</x:v>
      </x:c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>
      <x:c r="A12" s="2" t="str">
        <x:v>M011</x:v>
      </x:c>
      <x:c r="B12" s="2" t="str">
        <x:v>E002</x:v>
      </x:c>
      <x:c r="C12" s="2" t="str">
        <x:v>Cardiovascular</x:v>
      </x:c>
      <x:c r="D12" s="2" t="str">
        <x:v>AF diagnostic meta-analysis</x:v>
      </x:c>
      <x:c r="E12" s="2" t="str">
        <x:v>Overall specificity heterogeneity I²</x:v>
      </x:c>
      <x:c r="F12" s="2" t="n">
        <x:v>99</x:v>
      </x:c>
      <x:c r="G12" s="2" t="str">
        <x:v>%</x:v>
      </x:c>
      <x:c r="H12" s="2" t="str">
        <x:v>Lower is better</x:v>
      </x:c>
      <x:c r="I12" s="2" t="str">
        <x:v>26 studies; 17,349 patients</x:v>
      </x:c>
      <x:c r="J12" s="2" t="str">
        <x:v>Diagnostic</x:v>
      </x:c>
      <x:c r="K12" s="2" t="str">
        <x:v>https://pubmed.ncbi.nlm.nih.gov/41182224/</x:v>
      </x:c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>
      <x:c r="A13" s="2" t="str">
        <x:v>M012</x:v>
      </x:c>
      <x:c r="B13" s="2" t="str">
        <x:v>E003</x:v>
      </x:c>
      <x:c r="C13" s="2" t="str">
        <x:v>Cardiovascular</x:v>
      </x:c>
      <x:c r="D13" s="2" t="str">
        <x:v>EQUAL randomized trial</x:v>
      </x:c>
      <x:c r="E13" s="2" t="str">
        <x:v>Smartwatch AF detected</x:v>
      </x:c>
      <x:c r="F13" s="2" t="n">
        <x:v>9.6</x:v>
      </x:c>
      <x:c r="G13" s="2" t="str">
        <x:v>%</x:v>
      </x:c>
      <x:c r="H13" s="2" t="str">
        <x:v>Higher detection</x:v>
      </x:c>
      <x:c r="I13" s="2" t="str">
        <x:v>21/219</x:v>
      </x:c>
      <x:c r="J13" s="2" t="str">
        <x:v>Clinical pathway</x:v>
      </x:c>
      <x:c r="K13" s="2" t="str">
        <x:v>https://pubmed.ncbi.nlm.nih.gov/41569211/</x:v>
      </x:c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>
      <x:c r="A14" s="2" t="str">
        <x:v>M013</x:v>
      </x:c>
      <x:c r="B14" s="2" t="str">
        <x:v>E003</x:v>
      </x:c>
      <x:c r="C14" s="2" t="str">
        <x:v>Cardiovascular</x:v>
      </x:c>
      <x:c r="D14" s="2" t="str">
        <x:v>EQUAL randomized trial</x:v>
      </x:c>
      <x:c r="E14" s="2" t="str">
        <x:v>Standard-care AF detected</x:v>
      </x:c>
      <x:c r="F14" s="2" t="n">
        <x:v>2.3</x:v>
      </x:c>
      <x:c r="G14" s="2" t="str">
        <x:v>%</x:v>
      </x:c>
      <x:c r="H14" s="2" t="str">
        <x:v>Higher detection</x:v>
      </x:c>
      <x:c r="I14" s="2" t="str">
        <x:v>5/218</x:v>
      </x:c>
      <x:c r="J14" s="2" t="str">
        <x:v>Clinical pathway</x:v>
      </x:c>
      <x:c r="K14" s="2" t="str">
        <x:v>https://pubmed.ncbi.nlm.nih.gov/41569211/</x:v>
      </x:c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>
      <x:c r="A15" s="2" t="str">
        <x:v>M014</x:v>
      </x:c>
      <x:c r="B15" s="2" t="str">
        <x:v>E003</x:v>
      </x:c>
      <x:c r="C15" s="2" t="str">
        <x:v>Cardiovascular</x:v>
      </x:c>
      <x:c r="D15" s="2" t="str">
        <x:v>EQUAL randomized trial</x:v>
      </x:c>
      <x:c r="E15" s="2" t="str">
        <x:v>Absolute detection difference</x:v>
      </x:c>
      <x:c r="F15" s="2" t="n">
        <x:v>7.3</x:v>
      </x:c>
      <x:c r="G15" s="2" t="str">
        <x:v>percentage points</x:v>
      </x:c>
      <x:c r="H15" s="2" t="str">
        <x:v>Higher detection</x:v>
      </x:c>
      <x:c r="I15" s="2" t="str">
        <x:v>Smartwatch minus standard care</x:v>
      </x:c>
      <x:c r="J15" s="2" t="str">
        <x:v>Clinical pathway</x:v>
      </x:c>
      <x:c r="K15" s="2" t="str">
        <x:v>https://pubmed.ncbi.nlm.nih.gov/41569211/</x:v>
      </x:c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2" t="str">
        <x:v>M015</x:v>
      </x:c>
      <x:c r="B16" s="2" t="str">
        <x:v>E003</x:v>
      </x:c>
      <x:c r="C16" s="2" t="str">
        <x:v>Cardiovascular</x:v>
      </x:c>
      <x:c r="D16" s="2" t="str">
        <x:v>EQUAL randomized trial</x:v>
      </x:c>
      <x:c r="E16" s="2" t="str">
        <x:v>Hazard ratio</x:v>
      </x:c>
      <x:c r="F16" s="2" t="n">
        <x:v>4.4</x:v>
      </x:c>
      <x:c r="G16" s="2" t="str">
        <x:v>HR</x:v>
      </x:c>
      <x:c r="H16" s="2" t="str">
        <x:v>Higher detection</x:v>
      </x:c>
      <x:c r="I16" s="2" t="str">
        <x:v>95% CI 1.66-11.66</x:v>
      </x:c>
      <x:c r="J16" s="2" t="str">
        <x:v>Clinical pathway</x:v>
      </x:c>
      <x:c r="K16" s="2" t="str">
        <x:v>https://pubmed.ncbi.nlm.nih.gov/41569211/</x:v>
      </x:c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2" t="str">
        <x:v>M016</x:v>
      </x:c>
      <x:c r="B17" s="2" t="str">
        <x:v>E005</x:v>
      </x:c>
      <x:c r="C17" s="2" t="str">
        <x:v>Metabolic</x:v>
      </x:c>
      <x:c r="D17" s="2" t="str">
        <x:v>CGM cardiometabolic outcomes</x:v>
      </x:c>
      <x:c r="E17" s="2" t="str">
        <x:v>HbA1c</x:v>
      </x:c>
      <x:c r="F17" s="2" t="n">
        <x:v>-0.48</x:v>
      </x:c>
      <x:c r="G17" s="2" t="str">
        <x:v>percentage points</x:v>
      </x:c>
      <x:c r="H17" s="2" t="str">
        <x:v>Lower is better</x:v>
      </x:c>
      <x:c r="I17" s="2" t="str">
        <x:v>30 RCTs; 3,133 participants</x:v>
      </x:c>
      <x:c r="J17" s="2" t="str">
        <x:v>Clinical outcome</x:v>
      </x:c>
      <x:c r="K17" s="2" t="str">
        <x:v>https://pubmed.ncbi.nlm.nih.gov/41309353/</x:v>
      </x:c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2" t="str">
        <x:v>M017</x:v>
      </x:c>
      <x:c r="B18" s="2" t="str">
        <x:v>E005</x:v>
      </x:c>
      <x:c r="C18" s="2" t="str">
        <x:v>Metabolic</x:v>
      </x:c>
      <x:c r="D18" s="2" t="str">
        <x:v>CGM cardiometabolic outcomes</x:v>
      </x:c>
      <x:c r="E18" s="2" t="str">
        <x:v>Time in range</x:v>
      </x:c>
      <x:c r="F18" s="2" t="n">
        <x:v>10.76</x:v>
      </x:c>
      <x:c r="G18" s="2" t="str">
        <x:v>percentage points</x:v>
      </x:c>
      <x:c r="H18" s="2" t="str">
        <x:v>Higher is better</x:v>
      </x:c>
      <x:c r="I18" s="2" t="str">
        <x:v>30 RCTs; 3,133 participants</x:v>
      </x:c>
      <x:c r="J18" s="2" t="str">
        <x:v>Clinical outcome</x:v>
      </x:c>
      <x:c r="K18" s="2" t="str">
        <x:v>https://pubmed.ncbi.nlm.nih.gov/41309353/</x:v>
      </x:c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2" t="str">
        <x:v>M018</x:v>
      </x:c>
      <x:c r="B19" s="2" t="str">
        <x:v>E005</x:v>
      </x:c>
      <x:c r="C19" s="2" t="str">
        <x:v>Metabolic</x:v>
      </x:c>
      <x:c r="D19" s="2" t="str">
        <x:v>CGM cardiometabolic outcomes</x:v>
      </x:c>
      <x:c r="E19" s="2" t="str">
        <x:v>Mean glucose</x:v>
      </x:c>
      <x:c r="F19" s="2" t="n">
        <x:v>-14.72</x:v>
      </x:c>
      <x:c r="G19" s="2" t="str">
        <x:v>mg/dL</x:v>
      </x:c>
      <x:c r="H19" s="2" t="str">
        <x:v>Lower is better</x:v>
      </x:c>
      <x:c r="I19" s="2" t="str">
        <x:v>30 RCTs; 3,133 participants</x:v>
      </x:c>
      <x:c r="J19" s="2" t="str">
        <x:v>Clinical outcome</x:v>
      </x:c>
      <x:c r="K19" s="2" t="str">
        <x:v>https://pubmed.ncbi.nlm.nih.gov/41309353/</x:v>
      </x:c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2" t="str">
        <x:v>M019</x:v>
      </x:c>
      <x:c r="B20" s="2" t="str">
        <x:v>E005</x:v>
      </x:c>
      <x:c r="C20" s="2" t="str">
        <x:v>Metabolic</x:v>
      </x:c>
      <x:c r="D20" s="2" t="str">
        <x:v>CGM cardiometabolic outcomes</x:v>
      </x:c>
      <x:c r="E20" s="2" t="str">
        <x:v>Non-HDL cholesterol</x:v>
      </x:c>
      <x:c r="F20" s="2" t="n">
        <x:v>-9.31</x:v>
      </x:c>
      <x:c r="G20" s="2" t="str">
        <x:v>mg/dL</x:v>
      </x:c>
      <x:c r="H20" s="2" t="str">
        <x:v>Lower is better</x:v>
      </x:c>
      <x:c r="I20" s="2" t="str">
        <x:v>30 RCTs; 3,133 participants</x:v>
      </x:c>
      <x:c r="J20" s="2" t="str">
        <x:v>Clinical outcome</x:v>
      </x:c>
      <x:c r="K20" s="2" t="str">
        <x:v>https://pubmed.ncbi.nlm.nih.gov/41309353/</x:v>
      </x:c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2" t="str">
        <x:v>M020</x:v>
      </x:c>
      <x:c r="B21" s="2" t="str">
        <x:v>E005</x:v>
      </x:c>
      <x:c r="C21" s="2" t="str">
        <x:v>Metabolic</x:v>
      </x:c>
      <x:c r="D21" s="2" t="str">
        <x:v>CGM cardiometabolic outcomes</x:v>
      </x:c>
      <x:c r="E21" s="2" t="str">
        <x:v>Triglycerides</x:v>
      </x:c>
      <x:c r="F21" s="2" t="n">
        <x:v>-32.17</x:v>
      </x:c>
      <x:c r="G21" s="2" t="str">
        <x:v>mg/dL</x:v>
      </x:c>
      <x:c r="H21" s="2" t="str">
        <x:v>Lower is better</x:v>
      </x:c>
      <x:c r="I21" s="2" t="str">
        <x:v>30 RCTs; 3,133 participants</x:v>
      </x:c>
      <x:c r="J21" s="2" t="str">
        <x:v>Clinical outcome</x:v>
      </x:c>
      <x:c r="K21" s="2" t="str">
        <x:v>https://pubmed.ncbi.nlm.nih.gov/41309353/</x:v>
      </x:c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" t="str">
        <x:v>M021</x:v>
      </x:c>
      <x:c r="B22" s="2" t="str">
        <x:v>E005</x:v>
      </x:c>
      <x:c r="C22" s="2" t="str">
        <x:v>Metabolic</x:v>
      </x:c>
      <x:c r="D22" s="2" t="str">
        <x:v>CGM cardiometabolic outcomes</x:v>
      </x:c>
      <x:c r="E22" s="2" t="str">
        <x:v>Systolic blood pressure</x:v>
      </x:c>
      <x:c r="F22" s="2" t="n">
        <x:v>-3.47</x:v>
      </x:c>
      <x:c r="G22" s="2" t="str">
        <x:v>mmHg</x:v>
      </x:c>
      <x:c r="H22" s="2" t="str">
        <x:v>Lower is better</x:v>
      </x:c>
      <x:c r="I22" s="2" t="str">
        <x:v>30 RCTs; 3,133 participants</x:v>
      </x:c>
      <x:c r="J22" s="2" t="str">
        <x:v>Clinical outcome</x:v>
      </x:c>
      <x:c r="K22" s="2" t="str">
        <x:v>https://pubmed.ncbi.nlm.nih.gov/41309353/</x:v>
      </x:c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" t="str">
        <x:v>M022</x:v>
      </x:c>
      <x:c r="B23" s="2" t="str">
        <x:v>E005</x:v>
      </x:c>
      <x:c r="C23" s="2" t="str">
        <x:v>Metabolic</x:v>
      </x:c>
      <x:c r="D23" s="2" t="str">
        <x:v>CGM cardiometabolic outcomes</x:v>
      </x:c>
      <x:c r="E23" s="2" t="str">
        <x:v>Weight</x:v>
      </x:c>
      <x:c r="F23" s="2" t="n">
        <x:v>-3.26</x:v>
      </x:c>
      <x:c r="G23" s="2" t="str">
        <x:v>kg</x:v>
      </x:c>
      <x:c r="H23" s="2" t="str">
        <x:v>Lower is better</x:v>
      </x:c>
      <x:c r="I23" s="2" t="str">
        <x:v>30 RCTs; 3,133 participants</x:v>
      </x:c>
      <x:c r="J23" s="2" t="str">
        <x:v>Clinical outcome</x:v>
      </x:c>
      <x:c r="K23" s="2" t="str">
        <x:v>https://pubmed.ncbi.nlm.nih.gov/41309353/</x:v>
      </x:c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 t="str">
        <x:v>M023</x:v>
      </x:c>
      <x:c r="B24" s="2" t="str">
        <x:v>E005</x:v>
      </x:c>
      <x:c r="C24" s="2" t="str">
        <x:v>Metabolic</x:v>
      </x:c>
      <x:c r="D24" s="2" t="str">
        <x:v>CGM cardiometabolic outcomes</x:v>
      </x:c>
      <x:c r="E24" s="2" t="str">
        <x:v>BMI</x:v>
      </x:c>
      <x:c r="F24" s="2" t="n">
        <x:v>-0.87</x:v>
      </x:c>
      <x:c r="G24" s="2" t="str">
        <x:v>kg/m²</x:v>
      </x:c>
      <x:c r="H24" s="2" t="str">
        <x:v>Lower is better</x:v>
      </x:c>
      <x:c r="I24" s="2" t="str">
        <x:v>30 RCTs; 3,133 participants</x:v>
      </x:c>
      <x:c r="J24" s="2" t="str">
        <x:v>Clinical outcome</x:v>
      </x:c>
      <x:c r="K24" s="2" t="str">
        <x:v>https://pubmed.ncbi.nlm.nih.gov/41309353/</x:v>
      </x:c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 t="str">
        <x:v>M024</x:v>
      </x:c>
      <x:c r="B25" s="2" t="str">
        <x:v>E006</x:v>
      </x:c>
      <x:c r="C25" s="2" t="str">
        <x:v>Metabolic</x:v>
      </x:c>
      <x:c r="D25" s="2" t="str">
        <x:v>CGM lifestyle-guided outcomes</x:v>
      </x:c>
      <x:c r="E25" s="2" t="str">
        <x:v>HbA1c</x:v>
      </x:c>
      <x:c r="F25" s="2" t="n">
        <x:v>-0.46</x:v>
      </x:c>
      <x:c r="G25" s="2" t="str">
        <x:v>percentage points</x:v>
      </x:c>
      <x:c r="H25" s="2" t="str">
        <x:v>Lower is better</x:v>
      </x:c>
      <x:c r="I25" s="2" t="str">
        <x:v>21 RCTs; 2,734 adults</x:v>
      </x:c>
      <x:c r="J25" s="2" t="str">
        <x:v>Clinical outcome</x:v>
      </x:c>
      <x:c r="K25" s="2" t="str">
        <x:v>https://pubmed.ncbi.nlm.nih.gov/41109846/</x:v>
      </x:c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 t="str">
        <x:v>M025</x:v>
      </x:c>
      <x:c r="B26" s="2" t="str">
        <x:v>E006</x:v>
      </x:c>
      <x:c r="C26" s="2" t="str">
        <x:v>Metabolic</x:v>
      </x:c>
      <x:c r="D26" s="2" t="str">
        <x:v>CGM lifestyle-guided outcomes</x:v>
      </x:c>
      <x:c r="E26" s="2" t="str">
        <x:v>Time in range</x:v>
      </x:c>
      <x:c r="F26" s="2" t="n">
        <x:v>7.18</x:v>
      </x:c>
      <x:c r="G26" s="2" t="str">
        <x:v>percentage points</x:v>
      </x:c>
      <x:c r="H26" s="2" t="str">
        <x:v>Higher is better</x:v>
      </x:c>
      <x:c r="I26" s="2" t="str">
        <x:v>21 RCTs; 2,734 adults</x:v>
      </x:c>
      <x:c r="J26" s="2" t="str">
        <x:v>Clinical outcome</x:v>
      </x:c>
      <x:c r="K26" s="2" t="str">
        <x:v>https://pubmed.ncbi.nlm.nih.gov/41109846/</x:v>
      </x:c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 t="str">
        <x:v>M026</x:v>
      </x:c>
      <x:c r="B27" s="2" t="str">
        <x:v>E006</x:v>
      </x:c>
      <x:c r="C27" s="2" t="str">
        <x:v>Metabolic</x:v>
      </x:c>
      <x:c r="D27" s="2" t="str">
        <x:v>CGM lifestyle-guided outcomes</x:v>
      </x:c>
      <x:c r="E27" s="2" t="str">
        <x:v>Time above range</x:v>
      </x:c>
      <x:c r="F27" s="2" t="n">
        <x:v>-7.32</x:v>
      </x:c>
      <x:c r="G27" s="2" t="str">
        <x:v>percentage points</x:v>
      </x:c>
      <x:c r="H27" s="2" t="str">
        <x:v>Lower is better</x:v>
      </x:c>
      <x:c r="I27" s="2" t="str">
        <x:v>21 RCTs; 2,734 adults</x:v>
      </x:c>
      <x:c r="J27" s="2" t="str">
        <x:v>Clinical outcome</x:v>
      </x:c>
      <x:c r="K27" s="2" t="str">
        <x:v>https://pubmed.ncbi.nlm.nih.gov/41109846/</x:v>
      </x:c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 t="str">
        <x:v>M027</x:v>
      </x:c>
      <x:c r="B28" s="2" t="str">
        <x:v>E006</x:v>
      </x:c>
      <x:c r="C28" s="2" t="str">
        <x:v>Metabolic</x:v>
      </x:c>
      <x:c r="D28" s="2" t="str">
        <x:v>CGM lifestyle-guided outcomes</x:v>
      </x:c>
      <x:c r="E28" s="2" t="str">
        <x:v>Fasting glucose</x:v>
      </x:c>
      <x:c r="F28" s="2" t="n">
        <x:v>-7.86</x:v>
      </x:c>
      <x:c r="G28" s="2" t="str">
        <x:v>mg/dL</x:v>
      </x:c>
      <x:c r="H28" s="2" t="str">
        <x:v>Lower is better</x:v>
      </x:c>
      <x:c r="I28" s="2" t="str">
        <x:v>21 RCTs; 2,734 adults</x:v>
      </x:c>
      <x:c r="J28" s="2" t="str">
        <x:v>Clinical outcome</x:v>
      </x:c>
      <x:c r="K28" s="2" t="str">
        <x:v>https://pubmed.ncbi.nlm.nih.gov/41109846/</x:v>
      </x:c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 t="str">
        <x:v>M028</x:v>
      </x:c>
      <x:c r="B29" s="2" t="str">
        <x:v>E006</x:v>
      </x:c>
      <x:c r="C29" s="2" t="str">
        <x:v>Metabolic</x:v>
      </x:c>
      <x:c r="D29" s="2" t="str">
        <x:v>CGM lifestyle-guided outcomes</x:v>
      </x:c>
      <x:c r="E29" s="2" t="str">
        <x:v>Mean CGM glucose</x:v>
      </x:c>
      <x:c r="F29" s="2" t="n">
        <x:v>-11.57</x:v>
      </x:c>
      <x:c r="G29" s="2" t="str">
        <x:v>mg/dL</x:v>
      </x:c>
      <x:c r="H29" s="2" t="str">
        <x:v>Lower is better</x:v>
      </x:c>
      <x:c r="I29" s="2" t="str">
        <x:v>21 RCTs; 2,734 adults</x:v>
      </x:c>
      <x:c r="J29" s="2" t="str">
        <x:v>Clinical outcome</x:v>
      </x:c>
      <x:c r="K29" s="2" t="str">
        <x:v>https://pubmed.ncbi.nlm.nih.gov/41109846/</x:v>
      </x:c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 t="str">
        <x:v>M029</x:v>
      </x:c>
      <x:c r="B30" s="2" t="str">
        <x:v>E006</x:v>
      </x:c>
      <x:c r="C30" s="2" t="str">
        <x:v>Metabolic</x:v>
      </x:c>
      <x:c r="D30" s="2" t="str">
        <x:v>CGM lifestyle-guided outcomes</x:v>
      </x:c>
      <x:c r="E30" s="2" t="str">
        <x:v>SD glucose</x:v>
      </x:c>
      <x:c r="F30" s="2" t="n">
        <x:v>-4.06</x:v>
      </x:c>
      <x:c r="G30" s="2" t="str">
        <x:v>mg/dL</x:v>
      </x:c>
      <x:c r="H30" s="2" t="str">
        <x:v>Lower is better</x:v>
      </x:c>
      <x:c r="I30" s="2" t="str">
        <x:v>21 RCTs; 2,734 adults</x:v>
      </x:c>
      <x:c r="J30" s="2" t="str">
        <x:v>Clinical outcome</x:v>
      </x:c>
      <x:c r="K30" s="2" t="str">
        <x:v>https://pubmed.ncbi.nlm.nih.gov/41109846/</x:v>
      </x:c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 t="str">
        <x:v>M030</x:v>
      </x:c>
      <x:c r="B31" s="2" t="str">
        <x:v>E006</x:v>
      </x:c>
      <x:c r="C31" s="2" t="str">
        <x:v>Metabolic</x:v>
      </x:c>
      <x:c r="D31" s="2" t="str">
        <x:v>CGM lifestyle-guided outcomes</x:v>
      </x:c>
      <x:c r="E31" s="2" t="str">
        <x:v>Weight</x:v>
      </x:c>
      <x:c r="F31" s="2" t="n">
        <x:v>-2.06</x:v>
      </x:c>
      <x:c r="G31" s="2" t="str">
        <x:v>kg</x:v>
      </x:c>
      <x:c r="H31" s="2" t="str">
        <x:v>Lower is better</x:v>
      </x:c>
      <x:c r="I31" s="2" t="str">
        <x:v>21 RCTs; 2,734 adults</x:v>
      </x:c>
      <x:c r="J31" s="2" t="str">
        <x:v>Clinical outcome</x:v>
      </x:c>
      <x:c r="K31" s="2" t="str">
        <x:v>https://pubmed.ncbi.nlm.nih.gov/41109846/</x:v>
      </x:c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 t="str">
        <x:v>M031</x:v>
      </x:c>
      <x:c r="B32" s="2" t="str">
        <x:v>E004</x:v>
      </x:c>
      <x:c r="C32" s="2" t="str">
        <x:v>Metabolic</x:v>
      </x:c>
      <x:c r="D32" s="2" t="str">
        <x:v>CGM forecast horizon</x:v>
      </x:c>
      <x:c r="E32" s="2" t="str">
        <x:v>15-minute RMSE</x:v>
      </x:c>
      <x:c r="F32" s="2" t="n">
        <x:v>15.02</x:v>
      </x:c>
      <x:c r="G32" s="2" t="str">
        <x:v>mg/dL</x:v>
      </x:c>
      <x:c r="H32" s="2" t="str">
        <x:v>Lower is better</x:v>
      </x:c>
      <x:c r="I32" s="2" t="str">
        <x:v>Forecast horizon 15 min</x:v>
      </x:c>
      <x:c r="J32" s="2" t="str">
        <x:v>Prediction error</x:v>
      </x:c>
      <x:c r="K32" s="2" t="str">
        <x:v>https://pubmed.ncbi.nlm.nih.gov/39269871/</x:v>
      </x:c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 t="str">
        <x:v>M032</x:v>
      </x:c>
      <x:c r="B33" s="2" t="str">
        <x:v>E004</x:v>
      </x:c>
      <x:c r="C33" s="2" t="str">
        <x:v>Metabolic</x:v>
      </x:c>
      <x:c r="D33" s="2" t="str">
        <x:v>CGM forecast horizon</x:v>
      </x:c>
      <x:c r="E33" s="2" t="str">
        <x:v>30-minute RMSE</x:v>
      </x:c>
      <x:c r="F33" s="2" t="n">
        <x:v>21.488</x:v>
      </x:c>
      <x:c r="G33" s="2" t="str">
        <x:v>mg/dL</x:v>
      </x:c>
      <x:c r="H33" s="2" t="str">
        <x:v>Lower is better</x:v>
      </x:c>
      <x:c r="I33" s="2" t="str">
        <x:v>Forecast horizon 30 min</x:v>
      </x:c>
      <x:c r="J33" s="2" t="str">
        <x:v>Prediction error</x:v>
      </x:c>
      <x:c r="K33" s="2" t="str">
        <x:v>https://pubmed.ncbi.nlm.nih.gov/39269871/</x:v>
      </x:c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 t="str">
        <x:v>M033</x:v>
      </x:c>
      <x:c r="B34" s="2" t="str">
        <x:v>E004</x:v>
      </x:c>
      <x:c r="C34" s="2" t="str">
        <x:v>Metabolic</x:v>
      </x:c>
      <x:c r="D34" s="2" t="str">
        <x:v>CGM forecast horizon</x:v>
      </x:c>
      <x:c r="E34" s="2" t="str">
        <x:v>45-minute RMSE</x:v>
      </x:c>
      <x:c r="F34" s="2" t="n">
        <x:v>30.094</x:v>
      </x:c>
      <x:c r="G34" s="2" t="str">
        <x:v>mg/dL</x:v>
      </x:c>
      <x:c r="H34" s="2" t="str">
        <x:v>Lower is better</x:v>
      </x:c>
      <x:c r="I34" s="2" t="str">
        <x:v>Forecast horizon 45 min</x:v>
      </x:c>
      <x:c r="J34" s="2" t="str">
        <x:v>Prediction error</x:v>
      </x:c>
      <x:c r="K34" s="2" t="str">
        <x:v>https://pubmed.ncbi.nlm.nih.gov/39269871/</x:v>
      </x:c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 t="str">
        <x:v>M034</x:v>
      </x:c>
      <x:c r="B35" s="2" t="str">
        <x:v>E004</x:v>
      </x:c>
      <x:c r="C35" s="2" t="str">
        <x:v>Metabolic</x:v>
      </x:c>
      <x:c r="D35" s="2" t="str">
        <x:v>CGM forecast horizon</x:v>
      </x:c>
      <x:c r="E35" s="2" t="str">
        <x:v>60-minute RMSE</x:v>
      </x:c>
      <x:c r="F35" s="2" t="n">
        <x:v>35.89</x:v>
      </x:c>
      <x:c r="G35" s="2" t="str">
        <x:v>mg/dL</x:v>
      </x:c>
      <x:c r="H35" s="2" t="str">
        <x:v>Lower is better</x:v>
      </x:c>
      <x:c r="I35" s="2" t="str">
        <x:v>Forecast horizon 60 min</x:v>
      </x:c>
      <x:c r="J35" s="2" t="str">
        <x:v>Prediction error</x:v>
      </x:c>
      <x:c r="K35" s="2" t="str">
        <x:v>https://pubmed.ncbi.nlm.nih.gov/39269871/</x:v>
      </x:c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 t="str">
        <x:v>M035</x:v>
      </x:c>
      <x:c r="B36" s="2" t="str">
        <x:v>E008</x:v>
      </x:c>
      <x:c r="C36" s="2" t="str">
        <x:v>Neurology</x:v>
      </x:c>
      <x:c r="D36" s="2" t="str">
        <x:v>Parkinson validation funnel</x:v>
      </x:c>
      <x:c r="E36" s="2" t="str">
        <x:v>Included studies</x:v>
      </x:c>
      <x:c r="F36" s="2" t="n">
        <x:v>66</x:v>
      </x:c>
      <x:c r="G36" s="2" t="str">
        <x:v>studies</x:v>
      </x:c>
      <x:c r="H36" s="2" t="str">
        <x:v>Context</x:v>
      </x:c>
      <x:c r="I36" s="2" t="str">
        <x:v>~3,579 participants</x:v>
      </x:c>
      <x:c r="J36" s="2" t="str">
        <x:v>Validation</x:v>
      </x:c>
      <x:c r="K36" s="2" t="str">
        <x:v>https://pubmed.ncbi.nlm.nih.gov/41746703/</x:v>
      </x:c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 t="str">
        <x:v>M036</x:v>
      </x:c>
      <x:c r="B37" s="2" t="str">
        <x:v>E008</x:v>
      </x:c>
      <x:c r="C37" s="2" t="str">
        <x:v>Neurology</x:v>
      </x:c>
      <x:c r="D37" s="2" t="str">
        <x:v>Parkinson validation funnel</x:v>
      </x:c>
      <x:c r="E37" s="2" t="str">
        <x:v>External validation</x:v>
      </x:c>
      <x:c r="F37" s="2" t="n">
        <x:v>4</x:v>
      </x:c>
      <x:c r="G37" s="2" t="str">
        <x:v>studies</x:v>
      </x:c>
      <x:c r="H37" s="2" t="str">
        <x:v>More rigorous is better</x:v>
      </x:c>
      <x:c r="I37" s="2" t="str">
        <x:v>4/66 = 6.1%</x:v>
      </x:c>
      <x:c r="J37" s="2" t="str">
        <x:v>Validation</x:v>
      </x:c>
      <x:c r="K37" s="2" t="str">
        <x:v>https://pubmed.ncbi.nlm.nih.gov/41746703/</x:v>
      </x:c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 t="str">
        <x:v>M037</x:v>
      </x:c>
      <x:c r="B38" s="2" t="str">
        <x:v>E008</x:v>
      </x:c>
      <x:c r="C38" s="2" t="str">
        <x:v>Neurology</x:v>
      </x:c>
      <x:c r="D38" s="2" t="str">
        <x:v>Parkinson validation funnel</x:v>
      </x:c>
      <x:c r="E38" s="2" t="str">
        <x:v>LOOCV</x:v>
      </x:c>
      <x:c r="F38" s="2" t="n">
        <x:v>37</x:v>
      </x:c>
      <x:c r="G38" s="2" t="str">
        <x:v>studies</x:v>
      </x:c>
      <x:c r="H38" s="2" t="str">
        <x:v>Context</x:v>
      </x:c>
      <x:c r="I38" s="2" t="str">
        <x:v>56.1%</x:v>
      </x:c>
      <x:c r="J38" s="2" t="str">
        <x:v>Validation</x:v>
      </x:c>
      <x:c r="K38" s="2" t="str">
        <x:v>https://pubmed.ncbi.nlm.nih.gov/41746703/</x:v>
      </x:c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 t="str">
        <x:v>M038</x:v>
      </x:c>
      <x:c r="B39" s="2" t="str">
        <x:v>E008</x:v>
      </x:c>
      <x:c r="C39" s="2" t="str">
        <x:v>Neurology</x:v>
      </x:c>
      <x:c r="D39" s="2" t="str">
        <x:v>Parkinson validation funnel</x:v>
      </x:c>
      <x:c r="E39" s="2" t="str">
        <x:v>k-fold CV</x:v>
      </x:c>
      <x:c r="F39" s="2" t="n">
        <x:v>27</x:v>
      </x:c>
      <x:c r="G39" s="2" t="str">
        <x:v>studies</x:v>
      </x:c>
      <x:c r="H39" s="2" t="str">
        <x:v>Context</x:v>
      </x:c>
      <x:c r="I39" s="2" t="str">
        <x:v>40.9%</x:v>
      </x:c>
      <x:c r="J39" s="2" t="str">
        <x:v>Validation</x:v>
      </x:c>
      <x:c r="K39" s="2" t="str">
        <x:v>https://pubmed.ncbi.nlm.nih.gov/41746703/</x:v>
      </x:c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 t="str">
        <x:v>M039</x:v>
      </x:c>
      <x:c r="B40" s="2" t="str">
        <x:v>E008</x:v>
      </x:c>
      <x:c r="C40" s="2" t="str">
        <x:v>Neurology</x:v>
      </x:c>
      <x:c r="D40" s="2" t="str">
        <x:v>Parkinson validation funnel</x:v>
      </x:c>
      <x:c r="E40" s="2" t="str">
        <x:v>Hold-out</x:v>
      </x:c>
      <x:c r="F40" s="2" t="n">
        <x:v>18</x:v>
      </x:c>
      <x:c r="G40" s="2" t="str">
        <x:v>studies</x:v>
      </x:c>
      <x:c r="H40" s="2" t="str">
        <x:v>Context</x:v>
      </x:c>
      <x:c r="I40" s="2" t="str">
        <x:v>27.3%</x:v>
      </x:c>
      <x:c r="J40" s="2" t="str">
        <x:v>Validation</x:v>
      </x:c>
      <x:c r="K40" s="2" t="str">
        <x:v>https://pubmed.ncbi.nlm.nih.gov/41746703/</x:v>
      </x:c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 t="str">
        <x:v>M040</x:v>
      </x:c>
      <x:c r="B41" s="2" t="str">
        <x:v>E010</x:v>
      </x:c>
      <x:c r="C41" s="2" t="str">
        <x:v>Neurology</x:v>
      </x:c>
      <x:c r="D41" s="2" t="str">
        <x:v>Dementia evidence composition</x:v>
      </x:c>
      <x:c r="E41" s="2" t="str">
        <x:v>Statistical studies</x:v>
      </x:c>
      <x:c r="F41" s="2" t="n">
        <x:v>36</x:v>
      </x:c>
      <x:c r="G41" s="2" t="str">
        <x:v>studies</x:v>
      </x:c>
      <x:c r="H41" s="2" t="str">
        <x:v>Context</x:v>
      </x:c>
      <x:c r="I41" s="2" t="str">
        <x:v>73.5%</x:v>
      </x:c>
      <x:c r="J41" s="2" t="str">
        <x:v>Evidence mix</x:v>
      </x:c>
      <x:c r="K41" s="2" t="str">
        <x:v>https://pubmed.ncbi.nlm.nih.gov/41730193/</x:v>
      </x:c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 t="str">
        <x:v>M041</x:v>
      </x:c>
      <x:c r="B42" s="2" t="str">
        <x:v>E010</x:v>
      </x:c>
      <x:c r="C42" s="2" t="str">
        <x:v>Neurology</x:v>
      </x:c>
      <x:c r="D42" s="2" t="str">
        <x:v>Dementia evidence composition</x:v>
      </x:c>
      <x:c r="E42" s="2" t="str">
        <x:v>Machine-learning studies</x:v>
      </x:c>
      <x:c r="F42" s="2" t="n">
        <x:v>7</x:v>
      </x:c>
      <x:c r="G42" s="2" t="str">
        <x:v>studies</x:v>
      </x:c>
      <x:c r="H42" s="2" t="str">
        <x:v>Context</x:v>
      </x:c>
      <x:c r="I42" s="2" t="str">
        <x:v>14.3%</x:v>
      </x:c>
      <x:c r="J42" s="2" t="str">
        <x:v>Evidence mix</x:v>
      </x:c>
      <x:c r="K42" s="2" t="str">
        <x:v>https://pubmed.ncbi.nlm.nih.gov/41730193/</x:v>
      </x:c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 t="str">
        <x:v>M042</x:v>
      </x:c>
      <x:c r="B43" s="2" t="str">
        <x:v>E010</x:v>
      </x:c>
      <x:c r="C43" s="2" t="str">
        <x:v>Neurology</x:v>
      </x:c>
      <x:c r="D43" s="2" t="str">
        <x:v>Dementia evidence composition</x:v>
      </x:c>
      <x:c r="E43" s="2" t="str">
        <x:v>Deep-learning studies</x:v>
      </x:c>
      <x:c r="F43" s="2" t="n">
        <x:v>6</x:v>
      </x:c>
      <x:c r="G43" s="2" t="str">
        <x:v>studies</x:v>
      </x:c>
      <x:c r="H43" s="2" t="str">
        <x:v>Context</x:v>
      </x:c>
      <x:c r="I43" s="2" t="str">
        <x:v>12.2%</x:v>
      </x:c>
      <x:c r="J43" s="2" t="str">
        <x:v>Evidence mix</x:v>
      </x:c>
      <x:c r="K43" s="2" t="str">
        <x:v>https://pubmed.ncbi.nlm.nih.gov/41730193/</x:v>
      </x:c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 t="str">
        <x:v>M043</x:v>
      </x:c>
      <x:c r="B44" s="2" t="str">
        <x:v>E010</x:v>
      </x:c>
      <x:c r="C44" s="2" t="str">
        <x:v>Neurology</x:v>
      </x:c>
      <x:c r="D44" s="2" t="str">
        <x:v>Dementia evidence composition</x:v>
      </x:c>
      <x:c r="E44" s="2" t="str">
        <x:v>Predictive/longitudinal studies</x:v>
      </x:c>
      <x:c r="F44" s="2" t="n">
        <x:v>13</x:v>
      </x:c>
      <x:c r="G44" s="2" t="str">
        <x:v>studies</x:v>
      </x:c>
      <x:c r="H44" s="2" t="str">
        <x:v>Context</x:v>
      </x:c>
      <x:c r="I44" s="2" t="str">
        <x:v>26.5% of 49</x:v>
      </x:c>
      <x:c r="J44" s="2" t="str">
        <x:v>Evidence mix</x:v>
      </x:c>
      <x:c r="K44" s="2" t="str">
        <x:v>https://pubmed.ncbi.nlm.nih.gov/41730193/</x:v>
      </x:c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 t="str">
        <x:v>M044</x:v>
      </x:c>
      <x:c r="B45" s="2" t="str">
        <x:v>E010</x:v>
      </x:c>
      <x:c r="C45" s="2" t="str">
        <x:v>Neurology</x:v>
      </x:c>
      <x:c r="D45" s="2" t="str">
        <x:v>Dementia evidence composition</x:v>
      </x:c>
      <x:c r="E45" s="2" t="str">
        <x:v>Lower reported ML/DL AUC</x:v>
      </x:c>
      <x:c r="F45" s="2" t="n">
        <x:v>0.7</x:v>
      </x:c>
      <x:c r="G45" s="2" t="str">
        <x:v>AUC</x:v>
      </x:c>
      <x:c r="H45" s="2" t="str">
        <x:v>Context</x:v>
      </x:c>
      <x:c r="I45" s="2" t="str">
        <x:v>Across included ML/DL studies</x:v>
      </x:c>
      <x:c r="J45" s="2" t="str">
        <x:v>Evidence mix</x:v>
      </x:c>
      <x:c r="K45" s="2" t="str">
        <x:v>https://pubmed.ncbi.nlm.nih.gov/41730193/</x:v>
      </x:c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 t="str">
        <x:v>M045</x:v>
      </x:c>
      <x:c r="B46" s="2" t="str">
        <x:v>E010</x:v>
      </x:c>
      <x:c r="C46" s="2" t="str">
        <x:v>Neurology</x:v>
      </x:c>
      <x:c r="D46" s="2" t="str">
        <x:v>Dementia evidence composition</x:v>
      </x:c>
      <x:c r="E46" s="2" t="str">
        <x:v>Upper reported ML/DL AUC</x:v>
      </x:c>
      <x:c r="F46" s="2" t="n">
        <x:v>0.95</x:v>
      </x:c>
      <x:c r="G46" s="2" t="str">
        <x:v>AUC</x:v>
      </x:c>
      <x:c r="H46" s="2" t="str">
        <x:v>Context</x:v>
      </x:c>
      <x:c r="I46" s="2" t="str">
        <x:v>Across included ML/DL studies</x:v>
      </x:c>
      <x:c r="J46" s="2" t="str">
        <x:v>Evidence mix</x:v>
      </x:c>
      <x:c r="K46" s="2" t="str">
        <x:v>https://pubmed.ncbi.nlm.nih.gov/41730193/</x:v>
      </x:c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 t="str">
        <x:v>M046</x:v>
      </x:c>
      <x:c r="B47" s="2" t="str">
        <x:v>E011</x:v>
      </x:c>
      <x:c r="C47" s="2" t="str">
        <x:v>Neurology</x:v>
      </x:c>
      <x:c r="D47" s="2" t="str">
        <x:v>Epilepsy wearable AI landscape</x:v>
      </x:c>
      <x:c r="E47" s="2" t="str">
        <x:v>Detection-focused models</x:v>
      </x:c>
      <x:c r="F47" s="2" t="n">
        <x:v>54</x:v>
      </x:c>
      <x:c r="G47" s="2" t="str">
        <x:v>studies</x:v>
      </x:c>
      <x:c r="H47" s="2" t="str">
        <x:v>Context</x:v>
      </x:c>
      <x:c r="I47" s="2" t="str">
        <x:v>80.6%</x:v>
      </x:c>
      <x:c r="J47" s="2" t="str">
        <x:v>Landscape</x:v>
      </x:c>
      <x:c r="K47" s="2" t="str">
        <x:v>https://pubmed.ncbi.nlm.nih.gov/41172347/</x:v>
      </x:c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 t="str">
        <x:v>M047</x:v>
      </x:c>
      <x:c r="B48" s="2" t="str">
        <x:v>E011</x:v>
      </x:c>
      <x:c r="C48" s="2" t="str">
        <x:v>Neurology</x:v>
      </x:c>
      <x:c r="D48" s="2" t="str">
        <x:v>Epilepsy wearable AI landscape</x:v>
      </x:c>
      <x:c r="E48" s="2" t="str">
        <x:v>Prediction-focused models</x:v>
      </x:c>
      <x:c r="F48" s="2" t="n">
        <x:v>14</x:v>
      </x:c>
      <x:c r="G48" s="2" t="str">
        <x:v>studies</x:v>
      </x:c>
      <x:c r="H48" s="2" t="str">
        <x:v>Context</x:v>
      </x:c>
      <x:c r="I48" s="2" t="str">
        <x:v>20.9%</x:v>
      </x:c>
      <x:c r="J48" s="2" t="str">
        <x:v>Landscape</x:v>
      </x:c>
      <x:c r="K48" s="2" t="str">
        <x:v>https://pubmed.ncbi.nlm.nih.gov/41172347/</x:v>
      </x:c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 t="str">
        <x:v>M048</x:v>
      </x:c>
      <x:c r="B49" s="2" t="str">
        <x:v>E011</x:v>
      </x:c>
      <x:c r="C49" s="2" t="str">
        <x:v>Neurology</x:v>
      </x:c>
      <x:c r="D49" s="2" t="str">
        <x:v>Epilepsy wearable AI landscape</x:v>
      </x:c>
      <x:c r="E49" s="2" t="str">
        <x:v>Closed-source data</x:v>
      </x:c>
      <x:c r="F49" s="2" t="n">
        <x:v>44</x:v>
      </x:c>
      <x:c r="G49" s="2" t="str">
        <x:v>studies</x:v>
      </x:c>
      <x:c r="H49" s="2" t="str">
        <x:v>Context</x:v>
      </x:c>
      <x:c r="I49" s="2" t="str">
        <x:v>65.7%</x:v>
      </x:c>
      <x:c r="J49" s="2" t="str">
        <x:v>Landscape</x:v>
      </x:c>
      <x:c r="K49" s="2" t="str">
        <x:v>https://pubmed.ncbi.nlm.nih.gov/41172347/</x:v>
      </x:c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 t="str">
        <x:v>M049</x:v>
      </x:c>
      <x:c r="B50" s="2" t="str">
        <x:v>E011</x:v>
      </x:c>
      <x:c r="C50" s="2" t="str">
        <x:v>Neurology</x:v>
      </x:c>
      <x:c r="D50" s="2" t="str">
        <x:v>Epilepsy wearable AI landscape</x:v>
      </x:c>
      <x:c r="E50" s="2" t="str">
        <x:v>SVM used</x:v>
      </x:c>
      <x:c r="F50" s="2" t="n">
        <x:v>28</x:v>
      </x:c>
      <x:c r="G50" s="2" t="str">
        <x:v>studies</x:v>
      </x:c>
      <x:c r="H50" s="2" t="str">
        <x:v>Context</x:v>
      </x:c>
      <x:c r="I50" s="2" t="str">
        <x:v>41.8%</x:v>
      </x:c>
      <x:c r="J50" s="2" t="str">
        <x:v>Landscape</x:v>
      </x:c>
      <x:c r="K50" s="2" t="str">
        <x:v>https://pubmed.ncbi.nlm.nih.gov/41172347/</x:v>
      </x:c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 t="str">
        <x:v>M050</x:v>
      </x:c>
      <x:c r="B51" s="2" t="str">
        <x:v>E011</x:v>
      </x:c>
      <x:c r="C51" s="2" t="str">
        <x:v>Neurology</x:v>
      </x:c>
      <x:c r="D51" s="2" t="str">
        <x:v>Epilepsy wearable AI landscape</x:v>
      </x:c>
      <x:c r="E51" s="2" t="str">
        <x:v>Random forest used</x:v>
      </x:c>
      <x:c r="F51" s="2" t="n">
        <x:v>14</x:v>
      </x:c>
      <x:c r="G51" s="2" t="str">
        <x:v>studies</x:v>
      </x:c>
      <x:c r="H51" s="2" t="str">
        <x:v>Context</x:v>
      </x:c>
      <x:c r="I51" s="2" t="str">
        <x:v>20.9%</x:v>
      </x:c>
      <x:c r="J51" s="2" t="str">
        <x:v>Landscape</x:v>
      </x:c>
      <x:c r="K51" s="2" t="str">
        <x:v>https://pubmed.ncbi.nlm.nih.gov/41172347/</x:v>
      </x:c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 t="str">
        <x:v>M051</x:v>
      </x:c>
      <x:c r="B52" s="2" t="str">
        <x:v>E011</x:v>
      </x:c>
      <x:c r="C52" s="2" t="str">
        <x:v>Neurology</x:v>
      </x:c>
      <x:c r="D52" s="2" t="str">
        <x:v>Epilepsy wearable AI landscape</x:v>
      </x:c>
      <x:c r="E52" s="2" t="str">
        <x:v>CNN used</x:v>
      </x:c>
      <x:c r="F52" s="2" t="n">
        <x:v>10</x:v>
      </x:c>
      <x:c r="G52" s="2" t="str">
        <x:v>studies</x:v>
      </x:c>
      <x:c r="H52" s="2" t="str">
        <x:v>Context</x:v>
      </x:c>
      <x:c r="I52" s="2" t="str">
        <x:v>14.9%</x:v>
      </x:c>
      <x:c r="J52" s="2" t="str">
        <x:v>Landscape</x:v>
      </x:c>
      <x:c r="K52" s="2" t="str">
        <x:v>https://pubmed.ncbi.nlm.nih.gov/41172347/</x:v>
      </x:c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 t="str">
        <x:v>M052</x:v>
      </x:c>
      <x:c r="B53" s="2" t="str">
        <x:v>E011</x:v>
      </x:c>
      <x:c r="C53" s="2" t="str">
        <x:v>Neurology</x:v>
      </x:c>
      <x:c r="D53" s="2" t="str">
        <x:v>Epilepsy wearable AI landscape</x:v>
      </x:c>
      <x:c r="E53" s="2" t="str">
        <x:v>Activity measures</x:v>
      </x:c>
      <x:c r="F53" s="2" t="n">
        <x:v>36</x:v>
      </x:c>
      <x:c r="G53" s="2" t="str">
        <x:v>studies</x:v>
      </x:c>
      <x:c r="H53" s="2" t="str">
        <x:v>Context</x:v>
      </x:c>
      <x:c r="I53" s="2" t="str">
        <x:v>53.7%</x:v>
      </x:c>
      <x:c r="J53" s="2" t="str">
        <x:v>Landscape</x:v>
      </x:c>
      <x:c r="K53" s="2" t="str">
        <x:v>https://pubmed.ncbi.nlm.nih.gov/41172347/</x:v>
      </x:c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 t="str">
        <x:v>M053</x:v>
      </x:c>
      <x:c r="B54" s="2" t="str">
        <x:v>E011</x:v>
      </x:c>
      <x:c r="C54" s="2" t="str">
        <x:v>Neurology</x:v>
      </x:c>
      <x:c r="D54" s="2" t="str">
        <x:v>Epilepsy wearable AI landscape</x:v>
      </x:c>
      <x:c r="E54" s="2" t="str">
        <x:v>Cardiovascular metrics</x:v>
      </x:c>
      <x:c r="F54" s="2" t="n">
        <x:v>33</x:v>
      </x:c>
      <x:c r="G54" s="2" t="str">
        <x:v>studies</x:v>
      </x:c>
      <x:c r="H54" s="2" t="str">
        <x:v>Context</x:v>
      </x:c>
      <x:c r="I54" s="2" t="str">
        <x:v>49.3%</x:v>
      </x:c>
      <x:c r="J54" s="2" t="str">
        <x:v>Landscape</x:v>
      </x:c>
      <x:c r="K54" s="2" t="str">
        <x:v>https://pubmed.ncbi.nlm.nih.gov/41172347/</x:v>
      </x:c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 t="str">
        <x:v>M054</x:v>
      </x:c>
      <x:c r="B55" s="2" t="str">
        <x:v>E011</x:v>
      </x:c>
      <x:c r="C55" s="2" t="str">
        <x:v>Neurology</x:v>
      </x:c>
      <x:c r="D55" s="2" t="str">
        <x:v>Epilepsy wearable AI landscape</x:v>
      </x:c>
      <x:c r="E55" s="2" t="str">
        <x:v>Brain activity</x:v>
      </x:c>
      <x:c r="F55" s="2" t="n">
        <x:v>24</x:v>
      </x:c>
      <x:c r="G55" s="2" t="str">
        <x:v>studies</x:v>
      </x:c>
      <x:c r="H55" s="2" t="str">
        <x:v>Context</x:v>
      </x:c>
      <x:c r="I55" s="2" t="str">
        <x:v>35.8%</x:v>
      </x:c>
      <x:c r="J55" s="2" t="str">
        <x:v>Landscape</x:v>
      </x:c>
      <x:c r="K55" s="2" t="str">
        <x:v>https://pubmed.ncbi.nlm.nih.gov/41172347/</x:v>
      </x:c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 t="str">
        <x:v>M055</x:v>
      </x:c>
      <x:c r="B56" s="2" t="str">
        <x:v>E011</x:v>
      </x:c>
      <x:c r="C56" s="2" t="str">
        <x:v>Neurology</x:v>
      </x:c>
      <x:c r="D56" s="2" t="str">
        <x:v>Epilepsy wearable AI landscape</x:v>
      </x:c>
      <x:c r="E56" s="2" t="str">
        <x:v>Skin conductance</x:v>
      </x:c>
      <x:c r="F56" s="2" t="n">
        <x:v>23</x:v>
      </x:c>
      <x:c r="G56" s="2" t="str">
        <x:v>studies</x:v>
      </x:c>
      <x:c r="H56" s="2" t="str">
        <x:v>Context</x:v>
      </x:c>
      <x:c r="I56" s="2" t="str">
        <x:v>34.3%</x:v>
      </x:c>
      <x:c r="J56" s="2" t="str">
        <x:v>Landscape</x:v>
      </x:c>
      <x:c r="K56" s="2" t="str">
        <x:v>https://pubmed.ncbi.nlm.nih.gov/41172347/</x:v>
      </x:c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 t="str">
        <x:v>M056</x:v>
      </x:c>
      <x:c r="B57" s="2" t="str">
        <x:v>E011</x:v>
      </x:c>
      <x:c r="C57" s="2" t="str">
        <x:v>Neurology</x:v>
      </x:c>
      <x:c r="D57" s="2" t="str">
        <x:v>Epilepsy wearable AI landscape</x:v>
      </x:c>
      <x:c r="E57" s="2" t="str">
        <x:v>LOOCV</x:v>
      </x:c>
      <x:c r="F57" s="2" t="n">
        <x:v>21</x:v>
      </x:c>
      <x:c r="G57" s="2" t="str">
        <x:v>studies</x:v>
      </x:c>
      <x:c r="H57" s="2" t="str">
        <x:v>Context</x:v>
      </x:c>
      <x:c r="I57" s="2" t="str">
        <x:v>31.3%</x:v>
      </x:c>
      <x:c r="J57" s="2" t="str">
        <x:v>Landscape</x:v>
      </x:c>
      <x:c r="K57" s="2" t="str">
        <x:v>https://pubmed.ncbi.nlm.nih.gov/41172347/</x:v>
      </x:c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 t="str">
        <x:v>M057</x:v>
      </x:c>
      <x:c r="B58" s="2" t="str">
        <x:v>E011</x:v>
      </x:c>
      <x:c r="C58" s="2" t="str">
        <x:v>Neurology</x:v>
      </x:c>
      <x:c r="D58" s="2" t="str">
        <x:v>Epilepsy wearable AI landscape</x:v>
      </x:c>
      <x:c r="E58" s="2" t="str">
        <x:v>k-fold CV</x:v>
      </x:c>
      <x:c r="F58" s="2" t="n">
        <x:v>20</x:v>
      </x:c>
      <x:c r="G58" s="2" t="str">
        <x:v>studies</x:v>
      </x:c>
      <x:c r="H58" s="2" t="str">
        <x:v>Context</x:v>
      </x:c>
      <x:c r="I58" s="2" t="str">
        <x:v>29.9%</x:v>
      </x:c>
      <x:c r="J58" s="2" t="str">
        <x:v>Landscape</x:v>
      </x:c>
      <x:c r="K58" s="2" t="str">
        <x:v>https://pubmed.ncbi.nlm.nih.gov/41172347/</x:v>
      </x:c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 t="str">
        <x:v>M058</x:v>
      </x:c>
      <x:c r="B59" s="2" t="str">
        <x:v>E011</x:v>
      </x:c>
      <x:c r="C59" s="2" t="str">
        <x:v>Neurology</x:v>
      </x:c>
      <x:c r="D59" s="2" t="str">
        <x:v>Epilepsy wearable AI landscape</x:v>
      </x:c>
      <x:c r="E59" s="2" t="str">
        <x:v>vEEG reference standard</x:v>
      </x:c>
      <x:c r="F59" s="2" t="n">
        <x:v>35</x:v>
      </x:c>
      <x:c r="G59" s="2" t="str">
        <x:v>studies</x:v>
      </x:c>
      <x:c r="H59" s="2" t="str">
        <x:v>Context</x:v>
      </x:c>
      <x:c r="I59" s="2" t="str">
        <x:v>52.2%</x:v>
      </x:c>
      <x:c r="J59" s="2" t="str">
        <x:v>Landscape</x:v>
      </x:c>
      <x:c r="K59" s="2" t="str">
        <x:v>https://pubmed.ncbi.nlm.nih.gov/41172347/</x:v>
      </x:c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 t="str">
        <x:v>M059</x:v>
      </x:c>
      <x:c r="B60" s="2" t="str">
        <x:v>E012</x:v>
      </x:c>
      <x:c r="C60" s="2" t="str">
        <x:v>Neurology</x:v>
      </x:c>
      <x:c r="D60" s="2" t="str">
        <x:v>EEG seizure detection meta-analysis</x:v>
      </x:c>
      <x:c r="E60" s="2" t="str">
        <x:v>Pooled sensitivity</x:v>
      </x:c>
      <x:c r="F60" s="2" t="n">
        <x:v>0.96</x:v>
      </x:c>
      <x:c r="G60" s="2" t="str">
        <x:v>proportion</x:v>
      </x:c>
      <x:c r="H60" s="2" t="str">
        <x:v>Higher is better</x:v>
      </x:c>
      <x:c r="I60" s="2" t="str">
        <x:v>60 studies; 93 datasets</x:v>
      </x:c>
      <x:c r="J60" s="2" t="str">
        <x:v>Diagnostic</x:v>
      </x:c>
      <x:c r="K60" s="2" t="str">
        <x:v>https://pubmed.ncbi.nlm.nih.gov/40563805/</x:v>
      </x:c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 t="str">
        <x:v>M060</x:v>
      </x:c>
      <x:c r="B61" s="2" t="str">
        <x:v>E012</x:v>
      </x:c>
      <x:c r="C61" s="2" t="str">
        <x:v>Neurology</x:v>
      </x:c>
      <x:c r="D61" s="2" t="str">
        <x:v>EEG seizure detection meta-analysis</x:v>
      </x:c>
      <x:c r="E61" s="2" t="str">
        <x:v>Pooled specificity</x:v>
      </x:c>
      <x:c r="F61" s="2" t="n">
        <x:v>0.97</x:v>
      </x:c>
      <x:c r="G61" s="2" t="str">
        <x:v>proportion</x:v>
      </x:c>
      <x:c r="H61" s="2" t="str">
        <x:v>Higher is better</x:v>
      </x:c>
      <x:c r="I61" s="2" t="str">
        <x:v>60 studies; 93 datasets</x:v>
      </x:c>
      <x:c r="J61" s="2" t="str">
        <x:v>Diagnostic</x:v>
      </x:c>
      <x:c r="K61" s="2" t="str">
        <x:v>https://pubmed.ncbi.nlm.nih.gov/40563805/</x:v>
      </x:c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 t="str">
        <x:v>M061</x:v>
      </x:c>
      <x:c r="B62" s="2" t="str">
        <x:v>E012</x:v>
      </x:c>
      <x:c r="C62" s="2" t="str">
        <x:v>Neurology</x:v>
      </x:c>
      <x:c r="D62" s="2" t="str">
        <x:v>EEG seizure detection meta-analysis</x:v>
      </x:c>
      <x:c r="E62" s="2" t="str">
        <x:v>Pooled AUC</x:v>
      </x:c>
      <x:c r="F62" s="2" t="n">
        <x:v>0.99</x:v>
      </x:c>
      <x:c r="G62" s="2" t="str">
        <x:v>AUC</x:v>
      </x:c>
      <x:c r="H62" s="2" t="str">
        <x:v>Higher is better</x:v>
      </x:c>
      <x:c r="I62" s="2" t="str">
        <x:v>60 studies; 93 datasets</x:v>
      </x:c>
      <x:c r="J62" s="2" t="str">
        <x:v>Diagnostic</x:v>
      </x:c>
      <x:c r="K62" s="2" t="str">
        <x:v>https://pubmed.ncbi.nlm.nih.gov/40563805/</x:v>
      </x:c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 t="str">
        <x:v>M062</x:v>
      </x:c>
      <x:c r="B63" s="2" t="str">
        <x:v>E015</x:v>
      </x:c>
      <x:c r="C63" s="2" t="str">
        <x:v>Sleep</x:v>
      </x:c>
      <x:c r="D63" s="2" t="str">
        <x:v>Wearable AI sleep landscape</x:v>
      </x:c>
      <x:c r="E63" s="2" t="str">
        <x:v>Commercial devices</x:v>
      </x:c>
      <x:c r="F63" s="2" t="n">
        <x:v>30</x:v>
      </x:c>
      <x:c r="G63" s="2" t="str">
        <x:v>studies</x:v>
      </x:c>
      <x:c r="H63" s="2" t="str">
        <x:v>Context</x:v>
      </x:c>
      <x:c r="I63" s="2" t="str">
        <x:v>65% of 46</x:v>
      </x:c>
      <x:c r="J63" s="2" t="str">
        <x:v>Landscape</x:v>
      </x:c>
      <x:c r="K63" s="2" t="str">
        <x:v>https://pubmed.ncbi.nlm.nih.gov/40327852/</x:v>
      </x:c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 t="str">
        <x:v>M063</x:v>
      </x:c>
      <x:c r="B64" s="2" t="str">
        <x:v>E015</x:v>
      </x:c>
      <x:c r="C64" s="2" t="str">
        <x:v>Sleep</x:v>
      </x:c>
      <x:c r="D64" s="2" t="str">
        <x:v>Wearable AI sleep landscape</x:v>
      </x:c>
      <x:c r="E64" s="2" t="str">
        <x:v>Wrist-worn devices</x:v>
      </x:c>
      <x:c r="F64" s="2" t="n">
        <x:v>19</x:v>
      </x:c>
      <x:c r="G64" s="2" t="str">
        <x:v>studies</x:v>
      </x:c>
      <x:c r="H64" s="2" t="str">
        <x:v>Context</x:v>
      </x:c>
      <x:c r="I64" s="2" t="str">
        <x:v>41%</x:v>
      </x:c>
      <x:c r="J64" s="2" t="str">
        <x:v>Landscape</x:v>
      </x:c>
      <x:c r="K64" s="2" t="str">
        <x:v>https://pubmed.ncbi.nlm.nih.gov/40327852/</x:v>
      </x:c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 t="str">
        <x:v>M064</x:v>
      </x:c>
      <x:c r="B65" s="2" t="str">
        <x:v>E015</x:v>
      </x:c>
      <x:c r="C65" s="2" t="str">
        <x:v>Sleep</x:v>
      </x:c>
      <x:c r="D65" s="2" t="str">
        <x:v>Wearable AI sleep landscape</x:v>
      </x:c>
      <x:c r="E65" s="2" t="str">
        <x:v>Respiratory data</x:v>
      </x:c>
      <x:c r="F65" s="2" t="n">
        <x:v>25</x:v>
      </x:c>
      <x:c r="G65" s="2" t="str">
        <x:v>studies</x:v>
      </x:c>
      <x:c r="H65" s="2" t="str">
        <x:v>Context</x:v>
      </x:c>
      <x:c r="I65" s="2" t="str">
        <x:v>54%</x:v>
      </x:c>
      <x:c r="J65" s="2" t="str">
        <x:v>Landscape</x:v>
      </x:c>
      <x:c r="K65" s="2" t="str">
        <x:v>https://pubmed.ncbi.nlm.nih.gov/40327852/</x:v>
      </x:c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 t="str">
        <x:v>M065</x:v>
      </x:c>
      <x:c r="B66" s="2" t="str">
        <x:v>E015</x:v>
      </x:c>
      <x:c r="C66" s="2" t="str">
        <x:v>Sleep</x:v>
      </x:c>
      <x:c r="D66" s="2" t="str">
        <x:v>Wearable AI sleep landscape</x:v>
      </x:c>
      <x:c r="E66" s="2" t="str">
        <x:v>Heart-rate data</x:v>
      </x:c>
      <x:c r="F66" s="2" t="n">
        <x:v>22</x:v>
      </x:c>
      <x:c r="G66" s="2" t="str">
        <x:v>studies</x:v>
      </x:c>
      <x:c r="H66" s="2" t="str">
        <x:v>Context</x:v>
      </x:c>
      <x:c r="I66" s="2" t="str">
        <x:v>48%</x:v>
      </x:c>
      <x:c r="J66" s="2" t="str">
        <x:v>Landscape</x:v>
      </x:c>
      <x:c r="K66" s="2" t="str">
        <x:v>https://pubmed.ncbi.nlm.nih.gov/40327852/</x:v>
      </x:c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 t="str">
        <x:v>M066</x:v>
      </x:c>
      <x:c r="B67" s="2" t="str">
        <x:v>E015</x:v>
      </x:c>
      <x:c r="C67" s="2" t="str">
        <x:v>Sleep</x:v>
      </x:c>
      <x:c r="D67" s="2" t="str">
        <x:v>Wearable AI sleep landscape</x:v>
      </x:c>
      <x:c r="E67" s="2" t="str">
        <x:v>Body-movement data</x:v>
      </x:c>
      <x:c r="F67" s="2" t="n">
        <x:v>17</x:v>
      </x:c>
      <x:c r="G67" s="2" t="str">
        <x:v>studies</x:v>
      </x:c>
      <x:c r="H67" s="2" t="str">
        <x:v>Context</x:v>
      </x:c>
      <x:c r="I67" s="2" t="str">
        <x:v>37%</x:v>
      </x:c>
      <x:c r="J67" s="2" t="str">
        <x:v>Landscape</x:v>
      </x:c>
      <x:c r="K67" s="2" t="str">
        <x:v>https://pubmed.ncbi.nlm.nih.gov/40327852/</x:v>
      </x:c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 t="str">
        <x:v>M067</x:v>
      </x:c>
      <x:c r="B68" s="2" t="str">
        <x:v>E015</x:v>
      </x:c>
      <x:c r="C68" s="2" t="str">
        <x:v>Sleep</x:v>
      </x:c>
      <x:c r="D68" s="2" t="str">
        <x:v>Wearable AI sleep landscape</x:v>
      </x:c>
      <x:c r="E68" s="2" t="str">
        <x:v>CNN</x:v>
      </x:c>
      <x:c r="F68" s="2" t="n">
        <x:v>17</x:v>
      </x:c>
      <x:c r="G68" s="2" t="str">
        <x:v>studies</x:v>
      </x:c>
      <x:c r="H68" s="2" t="str">
        <x:v>Context</x:v>
      </x:c>
      <x:c r="I68" s="2" t="str">
        <x:v>37%</x:v>
      </x:c>
      <x:c r="J68" s="2" t="str">
        <x:v>Landscape</x:v>
      </x:c>
      <x:c r="K68" s="2" t="str">
        <x:v>https://pubmed.ncbi.nlm.nih.gov/40327852/</x:v>
      </x:c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 t="str">
        <x:v>M068</x:v>
      </x:c>
      <x:c r="B69" s="2" t="str">
        <x:v>E015</x:v>
      </x:c>
      <x:c r="C69" s="2" t="str">
        <x:v>Sleep</x:v>
      </x:c>
      <x:c r="D69" s="2" t="str">
        <x:v>Wearable AI sleep landscape</x:v>
      </x:c>
      <x:c r="E69" s="2" t="str">
        <x:v>Random forest</x:v>
      </x:c>
      <x:c r="F69" s="2" t="n">
        <x:v>14</x:v>
      </x:c>
      <x:c r="G69" s="2" t="str">
        <x:v>studies</x:v>
      </x:c>
      <x:c r="H69" s="2" t="str">
        <x:v>Context</x:v>
      </x:c>
      <x:c r="I69" s="2" t="str">
        <x:v>30%</x:v>
      </x:c>
      <x:c r="J69" s="2" t="str">
        <x:v>Landscape</x:v>
      </x:c>
      <x:c r="K69" s="2" t="str">
        <x:v>https://pubmed.ncbi.nlm.nih.gov/40327852/</x:v>
      </x:c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 t="str">
        <x:v>M069</x:v>
      </x:c>
      <x:c r="B70" s="2" t="str">
        <x:v>E015</x:v>
      </x:c>
      <x:c r="C70" s="2" t="str">
        <x:v>Sleep</x:v>
      </x:c>
      <x:c r="D70" s="2" t="str">
        <x:v>Wearable AI sleep landscape</x:v>
      </x:c>
      <x:c r="E70" s="2" t="str">
        <x:v>SVM</x:v>
      </x:c>
      <x:c r="F70" s="2" t="n">
        <x:v>12</x:v>
      </x:c>
      <x:c r="G70" s="2" t="str">
        <x:v>studies</x:v>
      </x:c>
      <x:c r="H70" s="2" t="str">
        <x:v>Context</x:v>
      </x:c>
      <x:c r="I70" s="2" t="str">
        <x:v>26%</x:v>
      </x:c>
      <x:c r="J70" s="2" t="str">
        <x:v>Landscape</x:v>
      </x:c>
      <x:c r="K70" s="2" t="str">
        <x:v>https://pubmed.ncbi.nlm.nih.gov/40327852/</x:v>
      </x:c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 t="str">
        <x:v>M070</x:v>
      </x:c>
      <x:c r="B71" s="2" t="str">
        <x:v>E016</x:v>
      </x:c>
      <x:c r="C71" s="2" t="str">
        <x:v>Sleep</x:v>
      </x:c>
      <x:c r="D71" s="2" t="str">
        <x:v>AI-oximetry OSA meta-analysis</x:v>
      </x:c>
      <x:c r="E71" s="2" t="str">
        <x:v>Pooled sensitivity</x:v>
      </x:c>
      <x:c r="F71" s="2" t="n">
        <x:v>91.1</x:v>
      </x:c>
      <x:c r="G71" s="2" t="str">
        <x:v>%</x:v>
      </x:c>
      <x:c r="H71" s="2" t="str">
        <x:v>Higher is better</x:v>
      </x:c>
      <x:c r="I71" s="2" t="str">
        <x:v> 25 studies; 23,171 participants</x:v>
      </x:c>
      <x:c r="J71" s="2" t="str">
        <x:v>Diagnostic</x:v>
      </x:c>
      <x:c r="K71" s="2" t="str">
        <x:v>https://pubmed.ncbi.nlm.nih.gov/42418449/</x:v>
      </x:c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 t="str">
        <x:v>M071</x:v>
      </x:c>
      <x:c r="B72" s="2" t="str">
        <x:v>E016</x:v>
      </x:c>
      <x:c r="C72" s="2" t="str">
        <x:v>Sleep</x:v>
      </x:c>
      <x:c r="D72" s="2" t="str">
        <x:v>AI-oximetry OSA meta-analysis</x:v>
      </x:c>
      <x:c r="E72" s="2" t="str">
        <x:v>Pooled specificity</x:v>
      </x:c>
      <x:c r="F72" s="2" t="n">
        <x:v>88.4</x:v>
      </x:c>
      <x:c r="G72" s="2" t="str">
        <x:v>%</x:v>
      </x:c>
      <x:c r="H72" s="2" t="str">
        <x:v>Higher is better</x:v>
      </x:c>
      <x:c r="I72" s="2" t="str">
        <x:v> 25 studies</x:v>
      </x:c>
      <x:c r="J72" s="2" t="str">
        <x:v>Diagnostic</x:v>
      </x:c>
      <x:c r="K72" s="2" t="str">
        <x:v>https://pubmed.ncbi.nlm.nih.gov/42418449/</x:v>
      </x:c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 t="str">
        <x:v>M072</x:v>
      </x:c>
      <x:c r="B73" s="2" t="str">
        <x:v>E016</x:v>
      </x:c>
      <x:c r="C73" s="2" t="str">
        <x:v>Sleep</x:v>
      </x:c>
      <x:c r="D73" s="2" t="str">
        <x:v>AI-oximetry OSA meta-analysis</x:v>
      </x:c>
      <x:c r="E73" s="2" t="str">
        <x:v>Neural-network sensitivity</x:v>
      </x:c>
      <x:c r="F73" s="2" t="n">
        <x:v>92.7</x:v>
      </x:c>
      <x:c r="G73" s="2" t="str">
        <x:v>%</x:v>
      </x:c>
      <x:c r="H73" s="2" t="str">
        <x:v>Higher is better</x:v>
      </x:c>
      <x:c r="I73" s="2" t="str">
        <x:v> Best model subgroup</x:v>
      </x:c>
      <x:c r="J73" s="2" t="str">
        <x:v>Diagnostic</x:v>
      </x:c>
      <x:c r="K73" s="2" t="str">
        <x:v>https://pubmed.ncbi.nlm.nih.gov/42418449/</x:v>
      </x:c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 t="str">
        <x:v>M073</x:v>
      </x:c>
      <x:c r="B74" s="2" t="str">
        <x:v>E016</x:v>
      </x:c>
      <x:c r="C74" s="2" t="str">
        <x:v>Sleep</x:v>
      </x:c>
      <x:c r="D74" s="2" t="str">
        <x:v>AI-oximetry OSA meta-analysis</x:v>
      </x:c>
      <x:c r="E74" s="2" t="str">
        <x:v>Neural-network specificity</x:v>
      </x:c>
      <x:c r="F74" s="2" t="n">
        <x:v>91.3</x:v>
      </x:c>
      <x:c r="G74" s="2" t="str">
        <x:v>%</x:v>
      </x:c>
      <x:c r="H74" s="2" t="str">
        <x:v>Higher is better</x:v>
      </x:c>
      <x:c r="I74" s="2" t="str">
        <x:v> Best model subgroup</x:v>
      </x:c>
      <x:c r="J74" s="2" t="str">
        <x:v>Diagnostic</x:v>
      </x:c>
      <x:c r="K74" s="2" t="str">
        <x:v>https://pubmed.ncbi.nlm.nih.gov/42418449/</x:v>
      </x:c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 t="str">
        <x:v>M074</x:v>
      </x:c>
      <x:c r="B75" s="2" t="str">
        <x:v>E016</x:v>
      </x:c>
      <x:c r="C75" s="2" t="str">
        <x:v>Sleep</x:v>
      </x:c>
      <x:c r="D75" s="2" t="str">
        <x:v>AI-oximetry OSA meta-analysis</x:v>
      </x:c>
      <x:c r="E75" s="2" t="str">
        <x:v>Specificity gain AHI ≥5→≥30</x:v>
      </x:c>
      <x:c r="F75" s="2" t="n">
        <x:v>16.6</x:v>
      </x:c>
      <x:c r="G75" s="2" t="str">
        <x:v>percentage points</x:v>
      </x:c>
      <x:c r="H75" s="2" t="str">
        <x:v>Higher is better</x:v>
      </x:c>
      <x:c r="I75" s="2" t="str">
        <x:v> Threshold effect</x:v>
      </x:c>
      <x:c r="J75" s="2" t="str">
        <x:v>Diagnostic</x:v>
      </x:c>
      <x:c r="K75" s="2" t="str">
        <x:v>https://pubmed.ncbi.nlm.nih.gov/42418449/</x:v>
      </x:c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 t="str">
        <x:v>M075</x:v>
      </x:c>
      <x:c r="B76" s="2" t="str">
        <x:v>E016</x:v>
      </x:c>
      <x:c r="C76" s="2" t="str">
        <x:v>Sleep</x:v>
      </x:c>
      <x:c r="D76" s="2" t="str">
        <x:v>AI-oximetry OSA meta-analysis</x:v>
      </x:c>
      <x:c r="E76" s="2" t="str">
        <x:v>AUC with no publication-bias assumption</x:v>
      </x:c>
      <x:c r="F76" s="2" t="n">
        <x:v>0.902</x:v>
      </x:c>
      <x:c r="G76" s="2" t="str">
        <x:v>AUC</x:v>
      </x:c>
      <x:c r="H76" s="2" t="str">
        <x:v>Higher is better</x:v>
      </x:c>
      <x:c r="I76" s="2" t="str">
        <x:v> Sensitivity analysis</x:v>
      </x:c>
      <x:c r="J76" s="2" t="str">
        <x:v>Diagnostic</x:v>
      </x:c>
      <x:c r="K76" s="2" t="str">
        <x:v>https://pubmed.ncbi.nlm.nih.gov/42418449/</x:v>
      </x:c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 t="str">
        <x:v>M076</x:v>
      </x:c>
      <x:c r="B77" s="2" t="str">
        <x:v>E016</x:v>
      </x:c>
      <x:c r="C77" s="2" t="str">
        <x:v>Sleep</x:v>
      </x:c>
      <x:c r="D77" s="2" t="str">
        <x:v>AI-oximetry OSA meta-analysis</x:v>
      </x:c>
      <x:c r="E77" s="2" t="str">
        <x:v>AUC with 40% unpublished-study probability</x:v>
      </x:c>
      <x:c r="F77" s="2" t="n">
        <x:v>0.877</x:v>
      </x:c>
      <x:c r="G77" s="2" t="str">
        <x:v>AUC</x:v>
      </x:c>
      <x:c r="H77" s="2" t="str">
        <x:v>Higher is better</x:v>
      </x:c>
      <x:c r="I77" s="2" t="str">
        <x:v> Sensitivity analysis</x:v>
      </x:c>
      <x:c r="J77" s="2" t="str">
        <x:v>Diagnostic</x:v>
      </x:c>
      <x:c r="K77" s="2" t="str">
        <x:v>https://pubmed.ncbi.nlm.nih.gov/42418449/</x:v>
      </x:c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 t="str">
        <x:v>M077</x:v>
      </x:c>
      <x:c r="B78" s="2" t="str">
        <x:v>E017</x:v>
      </x:c>
      <x:c r="C78" s="2" t="str">
        <x:v>Sleep</x:v>
      </x:c>
      <x:c r="D78" s="2" t="str">
        <x:v>TipTraQ external validation</x:v>
      </x:c>
      <x:c r="E78" s="2" t="str">
        <x:v>Internal validation cohort</x:v>
      </x:c>
      <x:c r="F78" s="2" t="n">
        <x:v>240</x:v>
      </x:c>
      <x:c r="G78" s="2" t="str">
        <x:v>participants</x:v>
      </x:c>
      <x:c r="H78" s="2" t="str">
        <x:v>Context</x:v>
      </x:c>
      <x:c r="I78" s="2" t="str">
        <x:v>Center 1</x:v>
      </x:c>
      <x:c r="J78" s="2" t="str">
        <x:v>Validation</x:v>
      </x:c>
      <x:c r="K78" s="2" t="str">
        <x:v>https://pubmed.ncbi.nlm.nih.gov/39821673/</x:v>
      </x:c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 t="str">
        <x:v>M078</x:v>
      </x:c>
      <x:c r="B79" s="2" t="str">
        <x:v>E017</x:v>
      </x:c>
      <x:c r="C79" s="2" t="str">
        <x:v>Sleep</x:v>
      </x:c>
      <x:c r="D79" s="2" t="str">
        <x:v>TipTraQ external validation</x:v>
      </x:c>
      <x:c r="E79" s="2" t="str">
        <x:v>External validation cohort</x:v>
      </x:c>
      <x:c r="F79" s="2" t="n">
        <x:v>112</x:v>
      </x:c>
      <x:c r="G79" s="2" t="str">
        <x:v>participants</x:v>
      </x:c>
      <x:c r="H79" s="2" t="str">
        <x:v>Context</x:v>
      </x:c>
      <x:c r="I79" s="2" t="str">
        <x:v>Independent center</x:v>
      </x:c>
      <x:c r="J79" s="2" t="str">
        <x:v>Validation</x:v>
      </x:c>
      <x:c r="K79" s="2" t="str">
        <x:v>https://pubmed.ncbi.nlm.nih.gov/39821673/</x:v>
      </x:c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 t="str">
        <x:v>M079</x:v>
      </x:c>
      <x:c r="B80" s="2" t="str">
        <x:v>E017</x:v>
      </x:c>
      <x:c r="C80" s="2" t="str">
        <x:v>Sleep</x:v>
      </x:c>
      <x:c r="D80" s="2" t="str">
        <x:v>TipTraQ external validation</x:v>
      </x:c>
      <x:c r="E80" s="2" t="str">
        <x:v>External TQ-TST vs TST correlation</x:v>
      </x:c>
      <x:c r="F80" s="2" t="n">
        <x:v>0.81</x:v>
      </x:c>
      <x:c r="G80" s="2" t="str">
        <x:v>Spearman r</x:v>
      </x:c>
      <x:c r="H80" s="2" t="str">
        <x:v>Context</x:v>
      </x:c>
      <x:c r="I80" s="2" t="str">
        <x:v>External</x:v>
      </x:c>
      <x:c r="J80" s="2" t="str">
        <x:v>Validation</x:v>
      </x:c>
      <x:c r="K80" s="2" t="str">
        <x:v>https://pubmed.ncbi.nlm.nih.gov/39821673/</x:v>
      </x:c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 t="str">
        <x:v>M080</x:v>
      </x:c>
      <x:c r="B81" s="2" t="str">
        <x:v>E017</x:v>
      </x:c>
      <x:c r="C81" s="2" t="str">
        <x:v>Sleep</x:v>
      </x:c>
      <x:c r="D81" s="2" t="str">
        <x:v>TipTraQ external validation</x:v>
      </x:c>
      <x:c r="E81" s="2" t="str">
        <x:v>External TQ-REI vs AHI correlation</x:v>
      </x:c>
      <x:c r="F81" s="2" t="n">
        <x:v>0.95</x:v>
      </x:c>
      <x:c r="G81" s="2" t="str">
        <x:v>Spearman r</x:v>
      </x:c>
      <x:c r="H81" s="2" t="str">
        <x:v>Context</x:v>
      </x:c>
      <x:c r="I81" s="2" t="str">
        <x:v>External</x:v>
      </x:c>
      <x:c r="J81" s="2" t="str">
        <x:v>Validation</x:v>
      </x:c>
      <x:c r="K81" s="2" t="str">
        <x:v>https://pubmed.ncbi.nlm.nih.gov/39821673/</x:v>
      </x:c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 t="str">
        <x:v>M081</x:v>
      </x:c>
      <x:c r="B82" s="2" t="str">
        <x:v>E017</x:v>
      </x:c>
      <x:c r="C82" s="2" t="str">
        <x:v>Sleep</x:v>
      </x:c>
      <x:c r="D82" s="2" t="str">
        <x:v>TipTraQ external validation</x:v>
      </x:c>
      <x:c r="E82" s="2" t="str">
        <x:v>TST RMSE</x:v>
      </x:c>
      <x:c r="F82" s="2" t="n">
        <x:v>0.53</x:v>
      </x:c>
      <x:c r="G82" s="2" t="str">
        <x:v>hours</x:v>
      </x:c>
      <x:c r="H82" s="2" t="str">
        <x:v>Context</x:v>
      </x:c>
      <x:c r="I82" s="2" t="str">
        <x:v>External</x:v>
      </x:c>
      <x:c r="J82" s="2" t="str">
        <x:v>Validation</x:v>
      </x:c>
      <x:c r="K82" s="2" t="str">
        <x:v>https://pubmed.ncbi.nlm.nih.gov/39821673/</x:v>
      </x:c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 t="str">
        <x:v>M082</x:v>
      </x:c>
      <x:c r="B83" s="2" t="str">
        <x:v>E017</x:v>
      </x:c>
      <x:c r="C83" s="2" t="str">
        <x:v>Sleep</x:v>
      </x:c>
      <x:c r="D83" s="2" t="str">
        <x:v>TipTraQ external validation</x:v>
      </x:c>
      <x:c r="E83" s="2" t="str">
        <x:v>REI/AHI RMSE</x:v>
      </x:c>
      <x:c r="F83" s="2" t="n">
        <x:v>7.53</x:v>
      </x:c>
      <x:c r="G83" s="2" t="str">
        <x:v>events/hour</x:v>
      </x:c>
      <x:c r="H83" s="2" t="str">
        <x:v>Context</x:v>
      </x:c>
      <x:c r="I83" s="2" t="str">
        <x:v>External</x:v>
      </x:c>
      <x:c r="J83" s="2" t="str">
        <x:v>Validation</x:v>
      </x:c>
      <x:c r="K83" s="2" t="str">
        <x:v>https://pubmed.ncbi.nlm.nih.gov/39821673/</x:v>
      </x:c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 t="str">
        <x:v>M083</x:v>
      </x:c>
      <x:c r="B84" s="2" t="str">
        <x:v>E017</x:v>
      </x:c>
      <x:c r="C84" s="2" t="str">
        <x:v>Sleep</x:v>
      </x:c>
      <x:c r="D84" s="2" t="str">
        <x:v>TipTraQ external validation</x:v>
      </x:c>
      <x:c r="E84" s="2" t="str">
        <x:v>Event true-positive rate</x:v>
      </x:c>
      <x:c r="F84" s="2" t="n">
        <x:v>0.76</x:v>
      </x:c>
      <x:c r="G84" s="2" t="str">
        <x:v>proportion</x:v>
      </x:c>
      <x:c r="H84" s="2" t="str">
        <x:v>Context</x:v>
      </x:c>
      <x:c r="I84" s="2" t="str">
        <x:v>10-sec grace period</x:v>
      </x:c>
      <x:c r="J84" s="2" t="str">
        <x:v>Validation</x:v>
      </x:c>
      <x:c r="K84" s="2" t="str">
        <x:v>https://pubmed.ncbi.nlm.nih.gov/39821673/</x:v>
      </x:c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 t="str">
        <x:v>M084</x:v>
      </x:c>
      <x:c r="B85" s="2" t="str">
        <x:v>E017</x:v>
      </x:c>
      <x:c r="C85" s="2" t="str">
        <x:v>Sleep</x:v>
      </x:c>
      <x:c r="D85" s="2" t="str">
        <x:v>TipTraQ external validation</x:v>
      </x:c>
      <x:c r="E85" s="2" t="str">
        <x:v>Event false-positive rate</x:v>
      </x:c>
      <x:c r="F85" s="2" t="n">
        <x:v>0.24</x:v>
      </x:c>
      <x:c r="G85" s="2" t="str">
        <x:v>proportion</x:v>
      </x:c>
      <x:c r="H85" s="2" t="str">
        <x:v>Context</x:v>
      </x:c>
      <x:c r="I85" s="2" t="str">
        <x:v>10-sec grace period</x:v>
      </x:c>
      <x:c r="J85" s="2" t="str">
        <x:v>Validation</x:v>
      </x:c>
      <x:c r="K85" s="2" t="str">
        <x:v>https://pubmed.ncbi.nlm.nih.gov/39821673/</x:v>
      </x:c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 t="str">
        <x:v>M085</x:v>
      </x:c>
      <x:c r="B86" s="2" t="str">
        <x:v>E017</x:v>
      </x:c>
      <x:c r="C86" s="2" t="str">
        <x:v>Sleep</x:v>
      </x:c>
      <x:c r="D86" s="2" t="str">
        <x:v>TipTraQ external validation</x:v>
      </x:c>
      <x:c r="E86" s="2" t="str">
        <x:v>OSA severity Cohen kappa</x:v>
      </x:c>
      <x:c r="F86" s="2" t="n">
        <x:v>0.7</x:v>
      </x:c>
      <x:c r="G86" s="2" t="str">
        <x:v>kappa</x:v>
      </x:c>
      <x:c r="H86" s="2" t="str">
        <x:v>Context</x:v>
      </x:c>
      <x:c r="I86" s="2" t="str">
        <x:v>4-way severity</x:v>
      </x:c>
      <x:c r="J86" s="2" t="str">
        <x:v>Validation</x:v>
      </x:c>
      <x:c r="K86" s="2" t="str">
        <x:v>https://pubmed.ncbi.nlm.nih.gov/39821673/</x:v>
      </x:c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 t="str">
        <x:v>M086</x:v>
      </x:c>
      <x:c r="B87" s="2" t="str">
        <x:v>E019</x:v>
      </x:c>
      <x:c r="C87" s="2" t="str">
        <x:v>Mental health</x:v>
      </x:c>
      <x:c r="D87" s="2" t="str">
        <x:v>Depression wearable AI</x:v>
      </x:c>
      <x:c r="E87" s="2" t="str">
        <x:v>Detection sensitivity</x:v>
      </x:c>
      <x:c r="F87" s="2" t="n">
        <x:v>0.89</x:v>
      </x:c>
      <x:c r="G87" s="2" t="str">
        <x:v>proportion</x:v>
      </x:c>
      <x:c r="H87" s="2" t="str">
        <x:v>Higher is better</x:v>
      </x:c>
      <x:c r="I87" s="2" t="str">
        <x:v>16 studies / 32 datasets</x:v>
      </x:c>
      <x:c r="J87" s="2" t="str">
        <x:v>Diagnostic/Predictive</x:v>
      </x:c>
      <x:c r="K87" s="2" t="str">
        <x:v>https://pubmed.ncbi.nlm.nih.gov/41805737/</x:v>
      </x:c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 t="str">
        <x:v>M087</x:v>
      </x:c>
      <x:c r="B88" s="2" t="str">
        <x:v>E019</x:v>
      </x:c>
      <x:c r="C88" s="2" t="str">
        <x:v>Mental health</x:v>
      </x:c>
      <x:c r="D88" s="2" t="str">
        <x:v>Depression wearable AI</x:v>
      </x:c>
      <x:c r="E88" s="2" t="str">
        <x:v>Detection specificity</x:v>
      </x:c>
      <x:c r="F88" s="2" t="n">
        <x:v>0.93</x:v>
      </x:c>
      <x:c r="G88" s="2" t="str">
        <x:v>proportion</x:v>
      </x:c>
      <x:c r="H88" s="2" t="str">
        <x:v>Higher is better</x:v>
      </x:c>
      <x:c r="I88" s="2" t="str">
        <x:v>16 studies</x:v>
      </x:c>
      <x:c r="J88" s="2" t="str">
        <x:v>Diagnostic/Predictive</x:v>
      </x:c>
      <x:c r="K88" s="2" t="str">
        <x:v>https://pubmed.ncbi.nlm.nih.gov/41805737/</x:v>
      </x:c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 t="str">
        <x:v>M088</x:v>
      </x:c>
      <x:c r="B89" s="2" t="str">
        <x:v>E019</x:v>
      </x:c>
      <x:c r="C89" s="2" t="str">
        <x:v>Mental health</x:v>
      </x:c>
      <x:c r="D89" s="2" t="str">
        <x:v>Depression wearable AI</x:v>
      </x:c>
      <x:c r="E89" s="2" t="str">
        <x:v>Detection AUC</x:v>
      </x:c>
      <x:c r="F89" s="2" t="n">
        <x:v>0.96</x:v>
      </x:c>
      <x:c r="G89" s="2" t="str">
        <x:v>AUC</x:v>
      </x:c>
      <x:c r="H89" s="2" t="str">
        <x:v>Higher is better</x:v>
      </x:c>
      <x:c r="I89" s="2" t="str">
        <x:v>16 studies</x:v>
      </x:c>
      <x:c r="J89" s="2" t="str">
        <x:v>Diagnostic/Predictive</x:v>
      </x:c>
      <x:c r="K89" s="2" t="str">
        <x:v>https://pubmed.ncbi.nlm.nih.gov/41805737/</x:v>
      </x:c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 t="str">
        <x:v>M089</x:v>
      </x:c>
      <x:c r="B90" s="2" t="str">
        <x:v>E019</x:v>
      </x:c>
      <x:c r="C90" s="2" t="str">
        <x:v>Mental health</x:v>
      </x:c>
      <x:c r="D90" s="2" t="str">
        <x:v>Depression wearable AI</x:v>
      </x:c>
      <x:c r="E90" s="2" t="str">
        <x:v>RF subgroup AUC</x:v>
      </x:c>
      <x:c r="F90" s="2" t="n">
        <x:v>0.97</x:v>
      </x:c>
      <x:c r="G90" s="2" t="str">
        <x:v>AUC</x:v>
      </x:c>
      <x:c r="H90" s="2" t="str">
        <x:v>Higher is better</x:v>
      </x:c>
      <x:c r="I90" s="2" t="str">
        <x:v>Best subgroup</x:v>
      </x:c>
      <x:c r="J90" s="2" t="str">
        <x:v>Diagnostic/Predictive</x:v>
      </x:c>
      <x:c r="K90" s="2" t="str">
        <x:v>https://pubmed.ncbi.nlm.nih.gov/41805737/</x:v>
      </x:c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 t="str">
        <x:v>M090</x:v>
      </x:c>
      <x:c r="B91" s="2" t="str">
        <x:v>E019</x:v>
      </x:c>
      <x:c r="C91" s="2" t="str">
        <x:v>Mental health</x:v>
      </x:c>
      <x:c r="D91" s="2" t="str">
        <x:v>Depression wearable AI</x:v>
      </x:c>
      <x:c r="E91" s="2" t="str">
        <x:v>Episode-prediction sensitivity</x:v>
      </x:c>
      <x:c r="F91" s="2" t="n">
        <x:v>0.86</x:v>
      </x:c>
      <x:c r="G91" s="2" t="str">
        <x:v>proportion</x:v>
      </x:c>
      <x:c r="H91" s="2" t="str">
        <x:v>Higher is better</x:v>
      </x:c>
      <x:c r="I91" s="2" t="str">
        <x:v>3 datasets</x:v>
      </x:c>
      <x:c r="J91" s="2" t="str">
        <x:v>Diagnostic/Predictive</x:v>
      </x:c>
      <x:c r="K91" s="2" t="str">
        <x:v>https://pubmed.ncbi.nlm.nih.gov/41805737/</x:v>
      </x:c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 t="str">
        <x:v>M091</x:v>
      </x:c>
      <x:c r="B92" s="2" t="str">
        <x:v>E019</x:v>
      </x:c>
      <x:c r="C92" s="2" t="str">
        <x:v>Mental health</x:v>
      </x:c>
      <x:c r="D92" s="2" t="str">
        <x:v>Depression wearable AI</x:v>
      </x:c>
      <x:c r="E92" s="2" t="str">
        <x:v>Episode-prediction specificity</x:v>
      </x:c>
      <x:c r="F92" s="2" t="n">
        <x:v>0.65</x:v>
      </x:c>
      <x:c r="G92" s="2" t="str">
        <x:v>proportion</x:v>
      </x:c>
      <x:c r="H92" s="2" t="str">
        <x:v>Higher is better</x:v>
      </x:c>
      <x:c r="I92" s="2" t="str">
        <x:v>3 datasets</x:v>
      </x:c>
      <x:c r="J92" s="2" t="str">
        <x:v>Diagnostic/Predictive</x:v>
      </x:c>
      <x:c r="K92" s="2" t="str">
        <x:v>https://pubmed.ncbi.nlm.nih.gov/41805737/</x:v>
      </x:c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 t="str">
        <x:v>M092</x:v>
      </x:c>
      <x:c r="B93" s="2" t="str">
        <x:v>E020</x:v>
      </x:c>
      <x:c r="C93" s="2" t="str">
        <x:v>Mental health</x:v>
      </x:c>
      <x:c r="D93" s="2" t="str">
        <x:v>Depression digital biomarkers</x:v>
      </x:c>
      <x:c r="E93" s="2" t="str">
        <x:v>Sleep onset latency difference</x:v>
      </x:c>
      <x:c r="F93" s="2" t="n">
        <x:v>4.75</x:v>
      </x:c>
      <x:c r="G93" s="2" t="str">
        <x:v>minutes</x:v>
      </x:c>
      <x:c r="H93" s="2" t="str">
        <x:v>Context</x:v>
      </x:c>
      <x:c r="I93" s="2" t="str">
        <x:v>Depression vs control</x:v>
      </x:c>
      <x:c r="J93" s="2" t="str">
        <x:v>Biomarker</x:v>
      </x:c>
      <x:c r="K93" s="2" t="str">
        <x:v>https://pubmed.ncbi.nlm.nih.gov/41926632/</x:v>
      </x:c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 t="str">
        <x:v>M093</x:v>
      </x:c>
      <x:c r="B94" s="2" t="str">
        <x:v>E020</x:v>
      </x:c>
      <x:c r="C94" s="2" t="str">
        <x:v>Mental health</x:v>
      </x:c>
      <x:c r="D94" s="2" t="str">
        <x:v>Depression digital biomarkers</x:v>
      </x:c>
      <x:c r="E94" s="2" t="str">
        <x:v>Time in bed difference</x:v>
      </x:c>
      <x:c r="F94" s="2" t="n">
        <x:v>31.81</x:v>
      </x:c>
      <x:c r="G94" s="2" t="str">
        <x:v>minutes</x:v>
      </x:c>
      <x:c r="H94" s="2" t="str">
        <x:v>Context</x:v>
      </x:c>
      <x:c r="I94" s="2" t="str">
        <x:v>Depression vs control</x:v>
      </x:c>
      <x:c r="J94" s="2" t="str">
        <x:v>Biomarker</x:v>
      </x:c>
      <x:c r="K94" s="2" t="str">
        <x:v>https://pubmed.ncbi.nlm.nih.gov/41926632/</x:v>
      </x:c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 t="str">
        <x:v>M094</x:v>
      </x:c>
      <x:c r="B95" s="2" t="str">
        <x:v>E020</x:v>
      </x:c>
      <x:c r="C95" s="2" t="str">
        <x:v>Mental health</x:v>
      </x:c>
      <x:c r="D95" s="2" t="str">
        <x:v>Depression digital biomarkers</x:v>
      </x:c>
      <x:c r="E95" s="2" t="str">
        <x:v>Physical activity SMD</x:v>
      </x:c>
      <x:c r="F95" s="2" t="n">
        <x:v>-0.71</x:v>
      </x:c>
      <x:c r="G95" s="2" t="str">
        <x:v>SMD</x:v>
      </x:c>
      <x:c r="H95" s="2" t="str">
        <x:v>Context</x:v>
      </x:c>
      <x:c r="I95" s="2" t="str">
        <x:v>Depression lower activity</x:v>
      </x:c>
      <x:c r="J95" s="2" t="str">
        <x:v>Biomarker</x:v>
      </x:c>
      <x:c r="K95" s="2" t="str">
        <x:v>https://pubmed.ncbi.nlm.nih.gov/41926632/</x:v>
      </x:c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 t="str">
        <x:v>M095</x:v>
      </x:c>
      <x:c r="B96" s="2" t="str">
        <x:v>E025</x:v>
      </x:c>
      <x:c r="C96" s="2" t="str">
        <x:v>Mental health</x:v>
      </x:c>
      <x:c r="D96" s="2" t="str">
        <x:v>College stress sensing</x:v>
      </x:c>
      <x:c r="E96" s="2" t="str">
        <x:v>EDA-used studies</x:v>
      </x:c>
      <x:c r="F96" s="2" t="n">
        <x:v>77</x:v>
      </x:c>
      <x:c r="G96" s="2" t="str">
        <x:v>studies</x:v>
      </x:c>
      <x:c r="H96" s="2" t="str">
        <x:v>Context</x:v>
      </x:c>
      <x:c r="I96" s="2" t="str">
        <x:v>77/134 = 57.5%</x:v>
      </x:c>
      <x:c r="J96" s="2" t="str">
        <x:v>Sensor prevalence</x:v>
      </x:c>
      <x:c r="K96" s="2" t="str">
        <x:v>https://pubmed.ncbi.nlm.nih.gov/41911361/</x:v>
      </x:c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 t="str">
        <x:v>M096</x:v>
      </x:c>
      <x:c r="B97" s="2" t="str">
        <x:v>E026</x:v>
      </x:c>
      <x:c r="C97" s="2" t="str">
        <x:v>Respiratory</x:v>
      </x:c>
      <x:c r="D97" s="2" t="str">
        <x:v>COPD remote monitoring</x:v>
      </x:c>
      <x:c r="E97" s="2" t="str">
        <x:v>Included studies</x:v>
      </x:c>
      <x:c r="F97" s="2" t="n">
        <x:v>26</x:v>
      </x:c>
      <x:c r="G97" s="2" t="str">
        <x:v>studies</x:v>
      </x:c>
      <x:c r="H97" s="2" t="str">
        <x:v>Context</x:v>
      </x:c>
      <x:c r="I97" s="2" t="str">
        <x:v>Review total</x:v>
      </x:c>
      <x:c r="J97" s="2" t="str">
        <x:v>Landscape</x:v>
      </x:c>
      <x:c r="K97" s="2" t="str">
        <x:v>https://pubmed.ncbi.nlm.nih.gov/42090610/</x:v>
      </x:c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 t="str">
        <x:v>M097</x:v>
      </x:c>
      <x:c r="B98" s="2" t="str">
        <x:v>E026</x:v>
      </x:c>
      <x:c r="C98" s="2" t="str">
        <x:v>Respiratory</x:v>
      </x:c>
      <x:c r="D98" s="2" t="str">
        <x:v>COPD remote monitoring</x:v>
      </x:c>
      <x:c r="E98" s="2" t="str">
        <x:v>Exacerbation prediction/detection</x:v>
      </x:c>
      <x:c r="F98" s="2" t="n">
        <x:v>20</x:v>
      </x:c>
      <x:c r="G98" s="2" t="str">
        <x:v>studies</x:v>
      </x:c>
      <x:c r="H98" s="2" t="str">
        <x:v>Context</x:v>
      </x:c>
      <x:c r="I98" s="2" t="str">
        <x:v>20/26</x:v>
      </x:c>
      <x:c r="J98" s="2" t="str">
        <x:v>Landscape</x:v>
      </x:c>
      <x:c r="K98" s="2" t="str">
        <x:v>https://pubmed.ncbi.nlm.nih.gov/42090610/</x:v>
      </x:c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 t="str">
        <x:v>M098</x:v>
      </x:c>
      <x:c r="B99" s="2" t="str">
        <x:v>E026</x:v>
      </x:c>
      <x:c r="C99" s="2" t="str">
        <x:v>Respiratory</x:v>
      </x:c>
      <x:c r="D99" s="2" t="str">
        <x:v>COPD remote monitoring</x:v>
      </x:c>
      <x:c r="E99" s="2" t="str">
        <x:v>Heart rate tracked</x:v>
      </x:c>
      <x:c r="F99" s="2" t="n">
        <x:v>9</x:v>
      </x:c>
      <x:c r="G99" s="2" t="str">
        <x:v>studies</x:v>
      </x:c>
      <x:c r="H99" s="2" t="str">
        <x:v>Context</x:v>
      </x:c>
      <x:c r="I99" s="2" t="str">
        <x:v>Most frequent</x:v>
      </x:c>
      <x:c r="J99" s="2" t="str">
        <x:v>Landscape</x:v>
      </x:c>
      <x:c r="K99" s="2" t="str">
        <x:v>https://pubmed.ncbi.nlm.nih.gov/42090610/</x:v>
      </x:c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 t="str">
        <x:v>M099</x:v>
      </x:c>
      <x:c r="B100" s="2" t="str">
        <x:v>E026</x:v>
      </x:c>
      <x:c r="C100" s="2" t="str">
        <x:v>Respiratory</x:v>
      </x:c>
      <x:c r="D100" s="2" t="str">
        <x:v>COPD remote monitoring</x:v>
      </x:c>
      <x:c r="E100" s="2" t="str">
        <x:v>SpO2 tracked</x:v>
      </x:c>
      <x:c r="F100" s="2" t="n">
        <x:v>9</x:v>
      </x:c>
      <x:c r="G100" s="2" t="str">
        <x:v>studies</x:v>
      </x:c>
      <x:c r="H100" s="2" t="str">
        <x:v>Context</x:v>
      </x:c>
      <x:c r="I100" s="2" t="str">
        <x:v>Most frequent</x:v>
      </x:c>
      <x:c r="J100" s="2" t="str">
        <x:v>Landscape</x:v>
      </x:c>
      <x:c r="K100" s="2" t="str">
        <x:v>https://pubmed.ncbi.nlm.nih.gov/42090610/</x:v>
      </x:c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 t="str">
        <x:v>M100</x:v>
      </x:c>
      <x:c r="B101" s="2" t="str">
        <x:v>E026</x:v>
      </x:c>
      <x:c r="C101" s="2" t="str">
        <x:v>Respiratory</x:v>
      </x:c>
      <x:c r="D101" s="2" t="str">
        <x:v>COPD remote monitoring</x:v>
      </x:c>
      <x:c r="E101" s="2" t="str">
        <x:v>Symptoms tracked</x:v>
      </x:c>
      <x:c r="F101" s="2" t="n">
        <x:v>8</x:v>
      </x:c>
      <x:c r="G101" s="2" t="str">
        <x:v>studies</x:v>
      </x:c>
      <x:c r="H101" s="2" t="str">
        <x:v>Context</x:v>
      </x:c>
      <x:c r="I101" s="2" t="str">
        <x:v>Common</x:v>
      </x:c>
      <x:c r="J101" s="2" t="str">
        <x:v>Landscape</x:v>
      </x:c>
      <x:c r="K101" s="2" t="str">
        <x:v>https://pubmed.ncbi.nlm.nih.gov/42090610/</x:v>
      </x:c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 t="str">
        <x:v>M101</x:v>
      </x:c>
      <x:c r="B102" s="2" t="str">
        <x:v>E026</x:v>
      </x:c>
      <x:c r="C102" s="2" t="str">
        <x:v>Respiratory</x:v>
      </x:c>
      <x:c r="D102" s="2" t="str">
        <x:v>COPD remote monitoring</x:v>
      </x:c>
      <x:c r="E102" s="2" t="str">
        <x:v>Daily/weekly sampling</x:v>
      </x:c>
      <x:c r="F102" s="2" t="n">
        <x:v>14</x:v>
      </x:c>
      <x:c r="G102" s="2" t="str">
        <x:v>studies</x:v>
      </x:c>
      <x:c r="H102" s="2" t="str">
        <x:v>Context</x:v>
      </x:c>
      <x:c r="I102" s="2" t="str">
        <x:v>Most common sampling cadence</x:v>
      </x:c>
      <x:c r="J102" s="2" t="str">
        <x:v>Landscape</x:v>
      </x:c>
      <x:c r="K102" s="2" t="str">
        <x:v>https://pubmed.ncbi.nlm.nih.gov/42090610/</x:v>
      </x:c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 t="str">
        <x:v>M102</x:v>
      </x:c>
      <x:c r="B103" s="2" t="str">
        <x:v>E029</x:v>
      </x:c>
      <x:c r="C103" s="2" t="str">
        <x:v>Aging</x:v>
      </x:c>
      <x:c r="D103" s="2" t="str">
        <x:v>Frailty prediction</x:v>
      </x:c>
      <x:c r="E103" s="2" t="str">
        <x:v>Models</x:v>
      </x:c>
      <x:c r="F103" s="2" t="n">
        <x:v>45</x:v>
      </x:c>
      <x:c r="G103" s="2" t="str">
        <x:v>models</x:v>
      </x:c>
      <x:c r="H103" s="2" t="str">
        <x:v>Context</x:v>
      </x:c>
      <x:c r="I103" s="2" t="str">
        <x:v>10 studies</x:v>
      </x:c>
      <x:c r="J103" s="2" t="str">
        <x:v>Validation/Performance</x:v>
      </x:c>
      <x:c r="K103" s="2" t="str">
        <x:v>https://pubmed.ncbi.nlm.nih.gov/41602088/</x:v>
      </x:c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 t="str">
        <x:v>M103</x:v>
      </x:c>
      <x:c r="B104" s="2" t="str">
        <x:v>E029</x:v>
      </x:c>
      <x:c r="C104" s="2" t="str">
        <x:v>Aging</x:v>
      </x:c>
      <x:c r="D104" s="2" t="str">
        <x:v>Frailty prediction</x:v>
      </x:c>
      <x:c r="E104" s="2" t="str">
        <x:v>Internal validation models</x:v>
      </x:c>
      <x:c r="F104" s="2" t="n">
        <x:v>36</x:v>
      </x:c>
      <x:c r="G104" s="2" t="str">
        <x:v>models</x:v>
      </x:c>
      <x:c r="H104" s="2" t="str">
        <x:v>Context</x:v>
      </x:c>
      <x:c r="I104" s="2" t="str">
        <x:v>80%</x:v>
      </x:c>
      <x:c r="J104" s="2" t="str">
        <x:v>Validation/Performance</x:v>
      </x:c>
      <x:c r="K104" s="2" t="str">
        <x:v>https://pubmed.ncbi.nlm.nih.gov/41602088/</x:v>
      </x:c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 t="str">
        <x:v>M104</x:v>
      </x:c>
      <x:c r="B105" s="2" t="str">
        <x:v>E029</x:v>
      </x:c>
      <x:c r="C105" s="2" t="str">
        <x:v>Aging</x:v>
      </x:c>
      <x:c r="D105" s="2" t="str">
        <x:v>Frailty prediction</x:v>
      </x:c>
      <x:c r="E105" s="2" t="str">
        <x:v>External validation models</x:v>
      </x:c>
      <x:c r="F105" s="2" t="n">
        <x:v>9</x:v>
      </x:c>
      <x:c r="G105" s="2" t="str">
        <x:v>models</x:v>
      </x:c>
      <x:c r="H105" s="2" t="str">
        <x:v>Context</x:v>
      </x:c>
      <x:c r="I105" s="2" t="str">
        <x:v>20%</x:v>
      </x:c>
      <x:c r="J105" s="2" t="str">
        <x:v>Validation/Performance</x:v>
      </x:c>
      <x:c r="K105" s="2" t="str">
        <x:v>https://pubmed.ncbi.nlm.nih.gov/41602088/</x:v>
      </x:c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 t="str">
        <x:v>M105</x:v>
      </x:c>
      <x:c r="B106" s="2" t="str">
        <x:v>E029</x:v>
      </x:c>
      <x:c r="C106" s="2" t="str">
        <x:v>Aging</x:v>
      </x:c>
      <x:c r="D106" s="2" t="str">
        <x:v>Frailty prediction</x:v>
      </x:c>
      <x:c r="E106" s="2" t="str">
        <x:v>Baseline frailty pooled AUC</x:v>
      </x:c>
      <x:c r="F106" s="2" t="n">
        <x:v>0.878</x:v>
      </x:c>
      <x:c r="G106" s="2" t="str">
        <x:v>AUC</x:v>
      </x:c>
      <x:c r="H106" s="2" t="str">
        <x:v>Higher is better</x:v>
      </x:c>
      <x:c r="I106" s="2" t="str">
        <x:v>Internal validation</x:v>
      </x:c>
      <x:c r="J106" s="2" t="str">
        <x:v>Validation/Performance</x:v>
      </x:c>
      <x:c r="K106" s="2" t="str">
        <x:v>https://pubmed.ncbi.nlm.nih.gov/41602088/</x:v>
      </x:c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 t="str">
        <x:v>M106</x:v>
      </x:c>
      <x:c r="B107" s="2" t="str">
        <x:v>E029</x:v>
      </x:c>
      <x:c r="C107" s="2" t="str">
        <x:v>Aging</x:v>
      </x:c>
      <x:c r="D107" s="2" t="str">
        <x:v>Frailty prediction</x:v>
      </x:c>
      <x:c r="E107" s="2" t="str">
        <x:v>Longitudinal frailty pooled AUC</x:v>
      </x:c>
      <x:c r="F107" s="2" t="n">
        <x:v>0.73</x:v>
      </x:c>
      <x:c r="G107" s="2" t="str">
        <x:v>AUC</x:v>
      </x:c>
      <x:c r="H107" s="2" t="str">
        <x:v>Higher is better</x:v>
      </x:c>
      <x:c r="I107" s="2" t="str">
        <x:v>Longitudinal</x:v>
      </x:c>
      <x:c r="J107" s="2" t="str">
        <x:v>Validation/Performance</x:v>
      </x:c>
      <x:c r="K107" s="2" t="str">
        <x:v>https://pubmed.ncbi.nlm.nih.gov/41602088/</x:v>
      </x:c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 t="str">
        <x:v>M107</x:v>
      </x:c>
      <x:c r="B108" s="2" t="str">
        <x:v>E029</x:v>
      </x:c>
      <x:c r="C108" s="2" t="str">
        <x:v>Aging</x:v>
      </x:c>
      <x:c r="D108" s="2" t="str">
        <x:v>Frailty prediction</x:v>
      </x:c>
      <x:c r="E108" s="2" t="str">
        <x:v>Overall pooled AUC</x:v>
      </x:c>
      <x:c r="F108" s="2" t="n">
        <x:v>0.786</x:v>
      </x:c>
      <x:c r="G108" s="2" t="str">
        <x:v>AUC</x:v>
      </x:c>
      <x:c r="H108" s="2" t="str">
        <x:v>Higher is better</x:v>
      </x:c>
      <x:c r="I108" s="2" t="str">
        <x:v>All studies</x:v>
      </x:c>
      <x:c r="J108" s="2" t="str">
        <x:v>Validation/Performance</x:v>
      </x:c>
      <x:c r="K108" s="2" t="str">
        <x:v>https://pubmed.ncbi.nlm.nih.gov/41602088/</x:v>
      </x:c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 t="str">
        <x:v>M108</x:v>
      </x:c>
      <x:c r="B109" s="2" t="str">
        <x:v>E032</x:v>
      </x:c>
      <x:c r="C109" s="2" t="str">
        <x:v>Frontier</x:v>
      </x:c>
      <x:c r="D109" s="2" t="str">
        <x:v>Human digital twin maturity</x:v>
      </x:c>
      <x:c r="E109" s="2" t="str">
        <x:v>Studies reviewed</x:v>
      </x:c>
      <x:c r="F109" s="2" t="n">
        <x:v>149</x:v>
      </x:c>
      <x:c r="G109" s="2" t="str">
        <x:v>studies</x:v>
      </x:c>
      <x:c r="H109" s="2" t="str">
        <x:v>Context</x:v>
      </x:c>
      <x:c r="I109" s="2" t="str">
        <x:v>Healthcare HDT review</x:v>
      </x:c>
      <x:c r="J109" s="2" t="str">
        <x:v>Maturity</x:v>
      </x:c>
      <x:c r="K109" s="2" t="str">
        <x:v>https://pubmed.ncbi.nlm.nih.gov/41028914/</x:v>
      </x:c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 t="str">
        <x:v>M109</x:v>
      </x:c>
      <x:c r="B110" s="2" t="str">
        <x:v>E032</x:v>
      </x:c>
      <x:c r="C110" s="2" t="str">
        <x:v>Frontier</x:v>
      </x:c>
      <x:c r="D110" s="2" t="str">
        <x:v>Human digital twin maturity</x:v>
      </x:c>
      <x:c r="E110" s="2" t="str">
        <x:v>Met NASEM criteria</x:v>
      </x:c>
      <x:c r="F110" s="2" t="n">
        <x:v>18</x:v>
      </x:c>
      <x:c r="G110" s="2" t="str">
        <x:v>studies</x:v>
      </x:c>
      <x:c r="H110" s="2" t="str">
        <x:v>Context</x:v>
      </x:c>
      <x:c r="I110" s="2" t="str">
        <x:v>12.08%</x:v>
      </x:c>
      <x:c r="J110" s="2" t="str">
        <x:v>Maturity</x:v>
      </x:c>
      <x:c r="K110" s="2" t="str">
        <x:v>https://pubmed.ncbi.nlm.nih.gov/41028914/</x:v>
      </x:c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 t="str">
        <x:v>M110</x:v>
      </x:c>
      <x:c r="B111" s="2" t="str">
        <x:v>E032</x:v>
      </x:c>
      <x:c r="C111" s="2" t="str">
        <x:v>Frontier</x:v>
      </x:c>
      <x:c r="D111" s="2" t="str">
        <x:v>Human digital twin maturity</x:v>
      </x:c>
      <x:c r="E111" s="2" t="str">
        <x:v>Mentioned VVUQ</x:v>
      </x:c>
      <x:c r="F111" s="2" t="n">
        <x:v>2</x:v>
      </x:c>
      <x:c r="G111" s="2" t="str">
        <x:v>studies</x:v>
      </x:c>
      <x:c r="H111" s="2" t="str">
        <x:v>Context</x:v>
      </x:c>
      <x:c r="I111" s="2" t="str">
        <x:v>1.34%</x:v>
      </x:c>
      <x:c r="J111" s="2" t="str">
        <x:v>Maturity</x:v>
      </x:c>
      <x:c r="K111" s="2" t="str">
        <x:v>https://pubmed.ncbi.nlm.nih.gov/41028914/</x:v>
      </x:c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  <x:row r="25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</x:row>
    <x:row r="252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</x:row>
    <x:row r="253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</x:row>
    <x:row r="254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</x:row>
    <x:row r="255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</x:row>
    <x:row r="256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</x:row>
    <x:row r="257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</x:row>
    <x:row r="258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</x:row>
    <x:row r="259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</x:row>
    <x:row r="260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</x:row>
    <x:row r="26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</x:row>
    <x:row r="262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</x:row>
    <x:row r="263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</x:row>
    <x:row r="264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</x:row>
    <x:row r="265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</x:row>
    <x:row r="266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</x:row>
    <x:row r="267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</x:row>
    <x:row r="268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</x:row>
    <x:row r="269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</x:row>
    <x:row r="270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</x:row>
    <x:row r="27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</x:row>
    <x:row r="272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</x:row>
    <x:row r="273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</x:row>
    <x:row r="274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</x:row>
    <x:row r="275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</x:row>
    <x:row r="276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</x:row>
    <x:row r="277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</x:row>
    <x:row r="278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</x:row>
    <x:row r="279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</x:row>
    <x:row r="280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</x:row>
    <x:row r="28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</x:row>
    <x:row r="282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</x:row>
    <x:row r="283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</x:row>
    <x:row r="284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</x:row>
    <x:row r="285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</x:row>
    <x:row r="286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</x:row>
    <x:row r="287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</x:row>
    <x:row r="288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</x:row>
    <x:row r="289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</x:row>
    <x:row r="290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</x:row>
    <x:row r="29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</x:row>
    <x:row r="292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</x:row>
    <x:row r="293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</x:row>
    <x:row r="294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</x:row>
    <x:row r="295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</x:row>
    <x:row r="296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</x:row>
    <x:row r="297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</x:row>
    <x:row r="298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</x:row>
    <x:row r="299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</x:row>
    <x:row r="300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</x:row>
  </x:sheetData>
  <x:conditionalFormatting sqref="F2:F111">
    <x:cfRule type="dataBar" priority="1">
      <x:dataBar>
        <x:cfvo type="min"/>
        <x:cfvo type="max"/>
        <x:color rgb="FF2563EB"/>
      </x:dataBar>
      <x:extLst>
        <x:ext xmlns:x14="http://schemas.microsoft.com/office/spreadsheetml/2009/9/main" uri="{B025F937-C7B1-47D3-B67F-A62EFF666E3E}">
          <x14:id>{A761701F-F8AB-5F51-DC6F-0704FB2C6610}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c9996fd64ce54001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A761701F-F8AB-5F51-DC6F-0704FB2C6610}">
            <x14:dataBar gradient="1">
              <x14:cfvo type="min"/>
              <x14:cfvo type="max"/>
              <x14:fillColor rgb="FF2563EB"/>
            </x14:dataBar>
          </x14:cfRule>
          <xm:sqref>F2:F111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44" hidden="0" customWidth="1"/>
    <x:col min="7" max="7" width="44" hidden="0" customWidth="1"/>
    <x:col min="8" max="8" width="16" hidden="0" customWidth="1"/>
  </x:cols>
  <x:sheetData>
    <x:row r="1" ht="34" customHeight="1">
      <x:c r="A1" s="8" t="str">
        <x:v>Topic</x:v>
      </x:c>
      <x:c r="B1" s="8" t="str">
        <x:v>Domain</x:v>
      </x:c>
      <x:c r="C1" s="8" t="str">
        <x:v>Denominator</x:v>
      </x:c>
      <x:c r="D1" s="8" t="str">
        <x:v>Numerator</x:v>
      </x:c>
      <x:c r="E1" s="8" t="str">
        <x:v>Rate</x:v>
      </x:c>
      <x:c r="F1" s="8" t="str">
        <x:v>What_Numerator_Means</x:v>
      </x:c>
      <x:c r="G1" s="8" t="str">
        <x:v>Interpretation</x:v>
      </x:c>
      <x:c r="H1" s="8" t="str">
        <x:v>Source_Evidence_ID</x:v>
      </x:c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2" t="str">
        <x:v>Parkinson wearable AI</x:v>
      </x:c>
      <x:c r="B2" s="2" t="str">
        <x:v>Neurology</x:v>
      </x:c>
      <x:c r="C2" s="2" t="n">
        <x:v>66</x:v>
      </x:c>
      <x:c r="D2" s="2" t="n">
        <x:v>4</x:v>
      </x:c>
      <x:c r="E2" s="46" t="n">
        <x:f>D2/C2</x:f>
        <x:v>0.06060606060606061</x:v>
      </x:c>
      <x:c r="F2" s="2" t="str">
        <x:v>Studies with external validation</x:v>
      </x:c>
      <x:c r="G2" s="2" t="str">
        <x:v>Only a small fraction of the 2020-2025 PD wearable literature tested generalization externally.</x:v>
      </x:c>
      <x:c r="H2" s="2" t="str">
        <x:v>E008</x:v>
      </x:c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2" t="str">
        <x:v>Frailty ML</x:v>
      </x:c>
      <x:c r="B3" s="2" t="str">
        <x:v>Aging</x:v>
      </x:c>
      <x:c r="C3" s="2" t="n">
        <x:v>45</x:v>
      </x:c>
      <x:c r="D3" s="2" t="n">
        <x:v>9</x:v>
      </x:c>
      <x:c r="E3" s="46" t="n">
        <x:f>D3/C3</x:f>
        <x:v>0.2</x:v>
      </x:c>
      <x:c r="F3" s="2" t="str">
        <x:v>Models with external validation</x:v>
      </x:c>
      <x:c r="G3" s="2" t="str">
        <x:v>External validation exists but remains a minority of developed models.</x:v>
      </x:c>
      <x:c r="H3" s="2" t="str">
        <x:v>E029</x:v>
      </x:c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2" t="str">
        <x:v>Human digital twins</x:v>
      </x:c>
      <x:c r="B4" s="2" t="str">
        <x:v>Frontier</x:v>
      </x:c>
      <x:c r="C4" s="2" t="n">
        <x:v>149</x:v>
      </x:c>
      <x:c r="D4" s="2" t="n">
        <x:v>2</x:v>
      </x:c>
      <x:c r="E4" s="46" t="n">
        <x:f>D4/C4</x:f>
        <x:v>0.013422818791946308</x:v>
      </x:c>
      <x:c r="F4" s="2" t="str">
        <x:v>Studies mentioning VVUQ</x:v>
      </x:c>
      <x:c r="G4" s="2" t="str">
        <x:v>Verification, validation and uncertainty quantification are exceptionally rare.</x:v>
      </x:c>
      <x:c r="H4" s="2" t="str">
        <x:v>E032</x:v>
      </x:c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>
      <x:c r="A5" s="2" t="str">
        <x:v>Dementia early detection</x:v>
      </x:c>
      <x:c r="B5" s="2" t="str">
        <x:v>Neurology</x:v>
      </x:c>
      <x:c r="C5" s="2" t="n">
        <x:v>49</x:v>
      </x:c>
      <x:c r="D5" s="2" t="n">
        <x:v>13</x:v>
      </x:c>
      <x:c r="E5" s="46" t="n">
        <x:f>D5/C5</x:f>
        <x:v>0.2653061224489796</x:v>
      </x:c>
      <x:c r="F5" s="2" t="str">
        <x:v>Predictive/longitudinal studies</x:v>
      </x:c>
      <x:c r="G5" s="2" t="str">
        <x:v>Most wearable dementia evidence is still descriptive/associational rather than prospective prediction.</x:v>
      </x:c>
      <x:c r="H5" s="2" t="str">
        <x:v>E010</x:v>
      </x:c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>
      <x:c r="A6" s="2" t="str">
        <x:v>Epilepsy wearable AI</x:v>
      </x:c>
      <x:c r="B6" s="2" t="str">
        <x:v>Neurology</x:v>
      </x:c>
      <x:c r="C6" s="2" t="n">
        <x:v>67</x:v>
      </x:c>
      <x:c r="D6" s="2" t="n">
        <x:v>44</x:v>
      </x:c>
      <x:c r="E6" s="46" t="n">
        <x:f>D6/C6</x:f>
        <x:v>0.6567164179104478</x:v>
      </x:c>
      <x:c r="F6" s="2" t="str">
        <x:v>Studies using closed-source data</x:v>
      </x:c>
      <x:c r="G6" s="2" t="str">
        <x:v>Closed datasets limit reproducibility and cross-center generalization.</x:v>
      </x:c>
      <x:c r="H6" s="2" t="str">
        <x:v>E011</x:v>
      </x:c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>
      <x:c r="A7" s="2" t="str">
        <x:v>Sleep TipTraQ</x:v>
      </x:c>
      <x:c r="B7" s="2" t="str">
        <x:v>Sleep</x:v>
      </x:c>
      <x:c r="C7" s="2" t="n">
        <x:v>352</x:v>
      </x:c>
      <x:c r="D7" s="2" t="n">
        <x:v>112</x:v>
      </x:c>
      <x:c r="E7" s="46" t="n">
        <x:f>D7/C7</x:f>
        <x:v>0.3181818181818182</x:v>
      </x:c>
      <x:c r="F7" s="2" t="str">
        <x:v>Independent external-validation participants</x:v>
      </x:c>
      <x:c r="G7" s="2" t="str">
        <x:v>This is a relatively strong device-validation design compared with internal cross-validation only.</x:v>
      </x:c>
      <x:c r="H7" s="2" t="str">
        <x:v>E017</x:v>
      </x:c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>
      <x:c r="A8" s="2"/>
      <x:c r="B8" s="2"/>
      <x:c r="C8" s="2"/>
      <x:c r="D8" s="2"/>
      <x:c r="E8" s="46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>
      <x:c r="A9" s="2"/>
      <x:c r="B9" s="2"/>
      <x:c r="C9" s="2"/>
      <x:c r="D9" s="2"/>
      <x:c r="E9" s="46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>
      <x:c r="A10" s="2"/>
      <x:c r="B10" s="2"/>
      <x:c r="C10" s="2"/>
      <x:c r="D10" s="2"/>
      <x:c r="E10" s="46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>
      <x:c r="A11" s="2"/>
      <x:c r="B11" s="2"/>
      <x:c r="C11" s="2"/>
      <x:c r="D11" s="2"/>
      <x:c r="E11" s="46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>
      <x:c r="A12" s="2"/>
      <x:c r="B12" s="2"/>
      <x:c r="C12" s="2"/>
      <x:c r="D12" s="2"/>
      <x:c r="E12" s="46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>
      <x:c r="A13" s="2"/>
      <x:c r="B13" s="2"/>
      <x:c r="C13" s="2"/>
      <x:c r="D13" s="2"/>
      <x:c r="E13" s="46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>
      <x:c r="A14" s="2"/>
      <x:c r="B14" s="2"/>
      <x:c r="C14" s="2"/>
      <x:c r="D14" s="2"/>
      <x:c r="E14" s="46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>
      <x:c r="A15" s="2"/>
      <x:c r="B15" s="2"/>
      <x:c r="C15" s="2"/>
      <x:c r="D15" s="2"/>
      <x:c r="E15" s="46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2"/>
      <x:c r="B16" s="2"/>
      <x:c r="C16" s="2"/>
      <x:c r="D16" s="2"/>
      <x:c r="E16" s="46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2"/>
      <x:c r="B17" s="2"/>
      <x:c r="C17" s="2"/>
      <x:c r="D17" s="2"/>
      <x:c r="E17" s="46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2"/>
      <x:c r="B18" s="2"/>
      <x:c r="C18" s="2"/>
      <x:c r="D18" s="2"/>
      <x:c r="E18" s="46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2"/>
      <x:c r="B19" s="2"/>
      <x:c r="C19" s="2"/>
      <x:c r="D19" s="2"/>
      <x:c r="E19" s="46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2"/>
      <x:c r="B20" s="2"/>
      <x:c r="C20" s="2"/>
      <x:c r="D20" s="2"/>
      <x:c r="E20" s="46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2"/>
      <x:c r="B21" s="2"/>
      <x:c r="C21" s="2"/>
      <x:c r="D21" s="2"/>
      <x:c r="E21" s="46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"/>
      <x:c r="B22" s="2"/>
      <x:c r="C22" s="2"/>
      <x:c r="D22" s="2"/>
      <x:c r="E22" s="46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"/>
      <x:c r="B23" s="2"/>
      <x:c r="C23" s="2"/>
      <x:c r="D23" s="2"/>
      <x:c r="E23" s="46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/>
      <x:c r="B24" s="2"/>
      <x:c r="C24" s="2"/>
      <x:c r="D24" s="2"/>
      <x:c r="E24" s="46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2"/>
      <x:c r="C25" s="2"/>
      <x:c r="D25" s="2"/>
      <x:c r="E25" s="46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46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46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46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46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46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46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46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46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46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46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46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46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46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46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46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46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46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46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46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46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46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46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46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46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46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46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46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46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46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46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46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46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46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46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46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46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46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46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46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46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46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46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46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46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46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46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46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46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46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46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46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46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46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46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46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46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46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46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46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46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46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46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46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46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46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46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46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46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46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46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46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46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46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46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46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  <x:row r="25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</x:row>
    <x:row r="252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</x:row>
    <x:row r="253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</x:row>
    <x:row r="254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</x:row>
    <x:row r="255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</x:row>
    <x:row r="256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</x:row>
    <x:row r="257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</x:row>
    <x:row r="258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</x:row>
    <x:row r="259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</x:row>
    <x:row r="260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</x:row>
    <x:row r="26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</x:row>
    <x:row r="262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</x:row>
    <x:row r="263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</x:row>
    <x:row r="264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</x:row>
    <x:row r="265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</x:row>
    <x:row r="266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</x:row>
    <x:row r="267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</x:row>
    <x:row r="268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</x:row>
    <x:row r="269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</x:row>
    <x:row r="270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</x:row>
    <x:row r="27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</x:row>
    <x:row r="272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</x:row>
    <x:row r="273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</x:row>
    <x:row r="274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</x:row>
    <x:row r="275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</x:row>
    <x:row r="276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</x:row>
    <x:row r="277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</x:row>
    <x:row r="278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</x:row>
    <x:row r="279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</x:row>
    <x:row r="280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</x:row>
    <x:row r="28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</x:row>
    <x:row r="282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</x:row>
    <x:row r="283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</x:row>
    <x:row r="284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</x:row>
    <x:row r="285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</x:row>
    <x:row r="286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</x:row>
    <x:row r="287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</x:row>
    <x:row r="288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</x:row>
    <x:row r="289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</x:row>
    <x:row r="290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</x:row>
    <x:row r="29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</x:row>
    <x:row r="292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</x:row>
    <x:row r="293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</x:row>
    <x:row r="294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</x:row>
    <x:row r="295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</x:row>
    <x:row r="296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</x:row>
    <x:row r="297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</x:row>
    <x:row r="298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</x:row>
    <x:row r="299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</x:row>
    <x:row r="300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</x:row>
  </x:sheetData>
  <x:conditionalFormatting sqref="E2:E7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4450d55d5102499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44" hidden="0" customWidth="1"/>
  </x:cols>
  <x:sheetData>
    <x:row r="1" ht="34" customHeight="1">
      <x:c r="A1" s="8" t="str">
        <x:v>Domain</x:v>
      </x:c>
      <x:c r="B1" s="8" t="str">
        <x:v>Condition</x:v>
      </x:c>
      <x:c r="C1" s="8" t="str">
        <x:v>Category</x:v>
      </x:c>
      <x:c r="D1" s="8" t="str">
        <x:v>Item</x:v>
      </x:c>
      <x:c r="E1" s="8" t="str">
        <x:v>Count</x:v>
      </x:c>
      <x:c r="F1" s="8" t="str">
        <x:v>Denominator</x:v>
      </x:c>
      <x:c r="G1" s="8" t="str">
        <x:v>Share</x:v>
      </x:c>
      <x:c r="H1" s="8" t="str">
        <x:v>Evidence_ID</x:v>
      </x:c>
      <x:c r="I1" s="8" t="str">
        <x:v>Why_It_Matters</x:v>
      </x:c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2" t="str">
        <x:v>Neurology</x:v>
      </x:c>
      <x:c r="B2" s="2" t="str">
        <x:v>Epilepsy</x:v>
      </x:c>
      <x:c r="C2" s="2" t="str">
        <x:v>Sensor / signal</x:v>
      </x:c>
      <x:c r="D2" s="2" t="str">
        <x:v>Activity measures</x:v>
      </x:c>
      <x:c r="E2" s="2" t="n">
        <x:v>36</x:v>
      </x:c>
      <x:c r="F2" s="2" t="n">
        <x:v>67</x:v>
      </x:c>
      <x:c r="G2" s="46" t="n">
        <x:f>E2/F2</x:f>
        <x:v>0.5373134328358209</x:v>
      </x:c>
      <x:c r="H2" s="2" t="str">
        <x:v>E011</x:v>
      </x:c>
      <x:c r="I2" s="2" t="str">
        <x:v>Activity is the most common signal family in wearable epilepsy work.</x:v>
      </x:c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2" t="str">
        <x:v>Neurology</x:v>
      </x:c>
      <x:c r="B3" s="2" t="str">
        <x:v>Epilepsy</x:v>
      </x:c>
      <x:c r="C3" s="2" t="str">
        <x:v>Sensor / signal</x:v>
      </x:c>
      <x:c r="D3" s="2" t="str">
        <x:v>Cardiovascular metrics</x:v>
      </x:c>
      <x:c r="E3" s="2" t="n">
        <x:v>33</x:v>
      </x:c>
      <x:c r="F3" s="2" t="n">
        <x:v>67</x:v>
      </x:c>
      <x:c r="G3" s="46" t="n">
        <x:f>E3/F3</x:f>
        <x:v>0.4925373134328358</x:v>
      </x:c>
      <x:c r="H3" s="2" t="str">
        <x:v>E011</x:v>
      </x:c>
      <x:c r="I3" s="2" t="str">
        <x:v>Heart-related signals are nearly as common as activity measures.</x:v>
      </x:c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2" t="str">
        <x:v>Neurology</x:v>
      </x:c>
      <x:c r="B4" s="2" t="str">
        <x:v>Epilepsy</x:v>
      </x:c>
      <x:c r="C4" s="2" t="str">
        <x:v>Sensor / signal</x:v>
      </x:c>
      <x:c r="D4" s="2" t="str">
        <x:v>Brain activity</x:v>
      </x:c>
      <x:c r="E4" s="2" t="n">
        <x:v>24</x:v>
      </x:c>
      <x:c r="F4" s="2" t="n">
        <x:v>67</x:v>
      </x:c>
      <x:c r="G4" s="46" t="n">
        <x:f>E4/F4</x:f>
        <x:v>0.3582089552238806</x:v>
      </x:c>
      <x:c r="H4" s="2" t="str">
        <x:v>E011</x:v>
      </x:c>
      <x:c r="I4" s="2" t="str">
        <x:v>EEG/brain signals remain important but are not used in every wearable study.</x:v>
      </x:c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>
      <x:c r="A5" s="2" t="str">
        <x:v>Neurology</x:v>
      </x:c>
      <x:c r="B5" s="2" t="str">
        <x:v>Epilepsy</x:v>
      </x:c>
      <x:c r="C5" s="2" t="str">
        <x:v>Sensor / signal</x:v>
      </x:c>
      <x:c r="D5" s="2" t="str">
        <x:v>Skin conductance</x:v>
      </x:c>
      <x:c r="E5" s="2" t="n">
        <x:v>23</x:v>
      </x:c>
      <x:c r="F5" s="2" t="n">
        <x:v>67</x:v>
      </x:c>
      <x:c r="G5" s="46" t="n">
        <x:f>E5/F5</x:f>
        <x:v>0.34328358208955223</x:v>
      </x:c>
      <x:c r="H5" s="2" t="str">
        <x:v>E011</x:v>
      </x:c>
      <x:c r="I5" s="2" t="str">
        <x:v>EDA provides an autonomic signal useful for convulsive-event detection.</x:v>
      </x:c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>
      <x:c r="A6" s="2" t="str">
        <x:v>Neurology</x:v>
      </x:c>
      <x:c r="B6" s="2" t="str">
        <x:v>Epilepsy</x:v>
      </x:c>
      <x:c r="C6" s="2" t="str">
        <x:v>AI model</x:v>
      </x:c>
      <x:c r="D6" s="2" t="str">
        <x:v>Support vector machine</x:v>
      </x:c>
      <x:c r="E6" s="2" t="n">
        <x:v>28</x:v>
      </x:c>
      <x:c r="F6" s="2" t="n">
        <x:v>67</x:v>
      </x:c>
      <x:c r="G6" s="46" t="n">
        <x:f>E6/F6</x:f>
        <x:v>0.417910447761194</x:v>
      </x:c>
      <x:c r="H6" s="2" t="str">
        <x:v>E011</x:v>
      </x:c>
      <x:c r="I6" s="2" t="str">
        <x:v>SVM is the most frequently reported model in the scoping review.</x:v>
      </x:c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>
      <x:c r="A7" s="2" t="str">
        <x:v>Neurology</x:v>
      </x:c>
      <x:c r="B7" s="2" t="str">
        <x:v>Epilepsy</x:v>
      </x:c>
      <x:c r="C7" s="2" t="str">
        <x:v>AI model</x:v>
      </x:c>
      <x:c r="D7" s="2" t="str">
        <x:v>Random forest</x:v>
      </x:c>
      <x:c r="E7" s="2" t="n">
        <x:v>14</x:v>
      </x:c>
      <x:c r="F7" s="2" t="n">
        <x:v>67</x:v>
      </x:c>
      <x:c r="G7" s="46" t="n">
        <x:f>E7/F7</x:f>
        <x:v>0.208955223880597</x:v>
      </x:c>
      <x:c r="H7" s="2" t="str">
        <x:v>E011</x:v>
      </x:c>
      <x:c r="I7" s="2" t="str">
        <x:v>Classical ML remains common.</x:v>
      </x:c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>
      <x:c r="A8" s="2" t="str">
        <x:v>Neurology</x:v>
      </x:c>
      <x:c r="B8" s="2" t="str">
        <x:v>Epilepsy</x:v>
      </x:c>
      <x:c r="C8" s="2" t="str">
        <x:v>AI model</x:v>
      </x:c>
      <x:c r="D8" s="2" t="str">
        <x:v>Convolutional neural network</x:v>
      </x:c>
      <x:c r="E8" s="2" t="n">
        <x:v>10</x:v>
      </x:c>
      <x:c r="F8" s="2" t="n">
        <x:v>67</x:v>
      </x:c>
      <x:c r="G8" s="46" t="n">
        <x:f>E8/F8</x:f>
        <x:v>0.14925373134328357</x:v>
      </x:c>
      <x:c r="H8" s="2" t="str">
        <x:v>E011</x:v>
      </x:c>
      <x:c r="I8" s="2" t="str">
        <x:v>Deep learning is present but less frequent than SVM.</x:v>
      </x:c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>
      <x:c r="A9" s="2" t="str">
        <x:v>Neurology</x:v>
      </x:c>
      <x:c r="B9" s="2" t="str">
        <x:v>Epilepsy</x:v>
      </x:c>
      <x:c r="C9" s="2" t="str">
        <x:v>Objective</x:v>
      </x:c>
      <x:c r="D9" s="2" t="str">
        <x:v>Seizure detection</x:v>
      </x:c>
      <x:c r="E9" s="2" t="n">
        <x:v>54</x:v>
      </x:c>
      <x:c r="F9" s="2" t="n">
        <x:v>67</x:v>
      </x:c>
      <x:c r="G9" s="46" t="n">
        <x:f>E9/F9</x:f>
        <x:v>0.8059701492537313</x:v>
      </x:c>
      <x:c r="H9" s="2" t="str">
        <x:v>E011</x:v>
      </x:c>
      <x:c r="I9" s="2" t="str">
        <x:v>The field is strongly detection-heavy.</x:v>
      </x:c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>
      <x:c r="A10" s="2" t="str">
        <x:v>Neurology</x:v>
      </x:c>
      <x:c r="B10" s="2" t="str">
        <x:v>Epilepsy</x:v>
      </x:c>
      <x:c r="C10" s="2" t="str">
        <x:v>Objective</x:v>
      </x:c>
      <x:c r="D10" s="2" t="str">
        <x:v>Seizure prediction</x:v>
      </x:c>
      <x:c r="E10" s="2" t="n">
        <x:v>14</x:v>
      </x:c>
      <x:c r="F10" s="2" t="n">
        <x:v>67</x:v>
      </x:c>
      <x:c r="G10" s="46" t="n">
        <x:f>E10/F10</x:f>
        <x:v>0.208955223880597</x:v>
      </x:c>
      <x:c r="H10" s="2" t="str">
        <x:v>E011</x:v>
      </x:c>
      <x:c r="I10" s="2" t="str">
        <x:v>True forecasting remains much less common than detection.</x:v>
      </x:c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>
      <x:c r="A11" s="2" t="str">
        <x:v>Neurology</x:v>
      </x:c>
      <x:c r="B11" s="2" t="str">
        <x:v>Epilepsy</x:v>
      </x:c>
      <x:c r="C11" s="2" t="str">
        <x:v>Data openness</x:v>
      </x:c>
      <x:c r="D11" s="2" t="str">
        <x:v>Closed-source data</x:v>
      </x:c>
      <x:c r="E11" s="2" t="n">
        <x:v>44</x:v>
      </x:c>
      <x:c r="F11" s="2" t="n">
        <x:v>67</x:v>
      </x:c>
      <x:c r="G11" s="46" t="n">
        <x:f>E11/F11</x:f>
        <x:v>0.6567164179104478</x:v>
      </x:c>
      <x:c r="H11" s="2" t="str">
        <x:v>E011</x:v>
      </x:c>
      <x:c r="I11" s="2" t="str">
        <x:v>Limits replication and benchmarking.</x:v>
      </x:c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>
      <x:c r="A12" s="2" t="str">
        <x:v>Sleep</x:v>
      </x:c>
      <x:c r="B12" s="2" t="str">
        <x:v>Sleep disorders</x:v>
      </x:c>
      <x:c r="C12" s="2" t="str">
        <x:v>Device / study</x:v>
      </x:c>
      <x:c r="D12" s="2" t="str">
        <x:v>Commercial wearable</x:v>
      </x:c>
      <x:c r="E12" s="2" t="n">
        <x:v>30</x:v>
      </x:c>
      <x:c r="F12" s="2" t="n">
        <x:v>46</x:v>
      </x:c>
      <x:c r="G12" s="46" t="n">
        <x:f>E12/F12</x:f>
        <x:v>0.6521739130434783</x:v>
      </x:c>
      <x:c r="H12" s="2" t="str">
        <x:v>E015</x:v>
      </x:c>
      <x:c r="I12" s="2" t="str">
        <x:v>Commercial devices dominate the sleep wearable literature.</x:v>
      </x:c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>
      <x:c r="A13" s="2" t="str">
        <x:v>Sleep</x:v>
      </x:c>
      <x:c r="B13" s="2" t="str">
        <x:v>Sleep disorders</x:v>
      </x:c>
      <x:c r="C13" s="2" t="str">
        <x:v>Device / study</x:v>
      </x:c>
      <x:c r="D13" s="2" t="str">
        <x:v>Wrist-worn device</x:v>
      </x:c>
      <x:c r="E13" s="2" t="n">
        <x:v>19</x:v>
      </x:c>
      <x:c r="F13" s="2" t="n">
        <x:v>46</x:v>
      </x:c>
      <x:c r="G13" s="46" t="n">
        <x:f>E13/F13</x:f>
        <x:v>0.41304347826086957</x:v>
      </x:c>
      <x:c r="H13" s="2" t="str">
        <x:v>E015</x:v>
      </x:c>
      <x:c r="I13" s="2" t="str">
        <x:v>Wrist devices are the most visible form factor.</x:v>
      </x:c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>
      <x:c r="A14" s="2" t="str">
        <x:v>Sleep</x:v>
      </x:c>
      <x:c r="B14" s="2" t="str">
        <x:v>Sleep disorders</x:v>
      </x:c>
      <x:c r="C14" s="2" t="str">
        <x:v>Sensor / signal</x:v>
      </x:c>
      <x:c r="D14" s="2" t="str">
        <x:v>Respiratory data</x:v>
      </x:c>
      <x:c r="E14" s="2" t="n">
        <x:v>25</x:v>
      </x:c>
      <x:c r="F14" s="2" t="n">
        <x:v>46</x:v>
      </x:c>
      <x:c r="G14" s="46" t="n">
        <x:f>E14/F14</x:f>
        <x:v>0.5434782608695652</x:v>
      </x:c>
      <x:c r="H14" s="2" t="str">
        <x:v>E015</x:v>
      </x:c>
      <x:c r="I14" s="2" t="str">
        <x:v>Respiratory features are the dominant input family.</x:v>
      </x:c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>
      <x:c r="A15" s="2" t="str">
        <x:v>Sleep</x:v>
      </x:c>
      <x:c r="B15" s="2" t="str">
        <x:v>Sleep disorders</x:v>
      </x:c>
      <x:c r="C15" s="2" t="str">
        <x:v>Sensor / signal</x:v>
      </x:c>
      <x:c r="D15" s="2" t="str">
        <x:v>Heart rate</x:v>
      </x:c>
      <x:c r="E15" s="2" t="n">
        <x:v>22</x:v>
      </x:c>
      <x:c r="F15" s="2" t="n">
        <x:v>46</x:v>
      </x:c>
      <x:c r="G15" s="46" t="n">
        <x:f>E15/F15</x:f>
        <x:v>0.4782608695652174</x:v>
      </x:c>
      <x:c r="H15" s="2" t="str">
        <x:v>E015</x:v>
      </x:c>
      <x:c r="I15" s="2" t="str">
        <x:v>Cardiovascular features are also frequently used.</x:v>
      </x:c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2" t="str">
        <x:v>Sleep</x:v>
      </x:c>
      <x:c r="B16" s="2" t="str">
        <x:v>Sleep disorders</x:v>
      </x:c>
      <x:c r="C16" s="2" t="str">
        <x:v>Sensor / signal</x:v>
      </x:c>
      <x:c r="D16" s="2" t="str">
        <x:v>Body movement</x:v>
      </x:c>
      <x:c r="E16" s="2" t="n">
        <x:v>17</x:v>
      </x:c>
      <x:c r="F16" s="2" t="n">
        <x:v>46</x:v>
      </x:c>
      <x:c r="G16" s="46" t="n">
        <x:f>E16/F16</x:f>
        <x:v>0.3695652173913043</x:v>
      </x:c>
      <x:c r="H16" s="2" t="str">
        <x:v>E015</x:v>
      </x:c>
      <x:c r="I16" s="2" t="str">
        <x:v>Movement remains a common indirect sleep feature.</x:v>
      </x:c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2" t="str">
        <x:v>Sleep</x:v>
      </x:c>
      <x:c r="B17" s="2" t="str">
        <x:v>Sleep disorders</x:v>
      </x:c>
      <x:c r="C17" s="2" t="str">
        <x:v>AI model</x:v>
      </x:c>
      <x:c r="D17" s="2" t="str">
        <x:v>Convolutional neural network</x:v>
      </x:c>
      <x:c r="E17" s="2" t="n">
        <x:v>17</x:v>
      </x:c>
      <x:c r="F17" s="2" t="n">
        <x:v>46</x:v>
      </x:c>
      <x:c r="G17" s="46" t="n">
        <x:f>E17/F17</x:f>
        <x:v>0.3695652173913043</x:v>
      </x:c>
      <x:c r="H17" s="2" t="str">
        <x:v>E015</x:v>
      </x:c>
      <x:c r="I17" s="2" t="str">
        <x:v>CNN is the leading algorithm family in the review.</x:v>
      </x:c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2" t="str">
        <x:v>Sleep</x:v>
      </x:c>
      <x:c r="B18" s="2" t="str">
        <x:v>Sleep disorders</x:v>
      </x:c>
      <x:c r="C18" s="2" t="str">
        <x:v>AI model</x:v>
      </x:c>
      <x:c r="D18" s="2" t="str">
        <x:v>Random forest</x:v>
      </x:c>
      <x:c r="E18" s="2" t="n">
        <x:v>14</x:v>
      </x:c>
      <x:c r="F18" s="2" t="n">
        <x:v>46</x:v>
      </x:c>
      <x:c r="G18" s="46" t="n">
        <x:f>E18/F18</x:f>
        <x:v>0.30434782608695654</x:v>
      </x:c>
      <x:c r="H18" s="2" t="str">
        <x:v>E015</x:v>
      </x:c>
      <x:c r="I18" s="2" t="str">
        <x:v>RF remains a strong classical baseline.</x:v>
      </x:c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2" t="str">
        <x:v>Sleep</x:v>
      </x:c>
      <x:c r="B19" s="2" t="str">
        <x:v>Sleep disorders</x:v>
      </x:c>
      <x:c r="C19" s="2" t="str">
        <x:v>AI model</x:v>
      </x:c>
      <x:c r="D19" s="2" t="str">
        <x:v>Support vector machine</x:v>
      </x:c>
      <x:c r="E19" s="2" t="n">
        <x:v>12</x:v>
      </x:c>
      <x:c r="F19" s="2" t="n">
        <x:v>46</x:v>
      </x:c>
      <x:c r="G19" s="46" t="n">
        <x:f>E19/F19</x:f>
        <x:v>0.2608695652173913</x:v>
      </x:c>
      <x:c r="H19" s="2" t="str">
        <x:v>E015</x:v>
      </x:c>
      <x:c r="I19" s="2" t="str">
        <x:v>SVM is still commonly used.</x:v>
      </x:c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2" t="str">
        <x:v>Mental health</x:v>
      </x:c>
      <x:c r="B20" s="2" t="str">
        <x:v>College stress</x:v>
      </x:c>
      <x:c r="C20" s="2" t="str">
        <x:v>Sensor / signal</x:v>
      </x:c>
      <x:c r="D20" s="2" t="str">
        <x:v>Electrodermal activity</x:v>
      </x:c>
      <x:c r="E20" s="2" t="n">
        <x:v>77</x:v>
      </x:c>
      <x:c r="F20" s="2" t="n">
        <x:v>134</x:v>
      </x:c>
      <x:c r="G20" s="46" t="n">
        <x:f>E20/F20</x:f>
        <x:v>0.5746268656716418</x:v>
      </x:c>
      <x:c r="H20" s="2" t="str">
        <x:v>E025</x:v>
      </x:c>
      <x:c r="I20" s="2" t="str">
        <x:v>EDA appears in more than half of student stress studies.</x:v>
      </x:c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2" t="str">
        <x:v>Respiratory</x:v>
      </x:c>
      <x:c r="B21" s="2" t="str">
        <x:v>COPD</x:v>
      </x:c>
      <x:c r="C21" s="2" t="str">
        <x:v>Sensor / signal</x:v>
      </x:c>
      <x:c r="D21" s="2" t="str">
        <x:v>Heart rate</x:v>
      </x:c>
      <x:c r="E21" s="2" t="n">
        <x:v>9</x:v>
      </x:c>
      <x:c r="F21" s="2" t="n">
        <x:v>26</x:v>
      </x:c>
      <x:c r="G21" s="46" t="n">
        <x:f>E21/F21</x:f>
        <x:v>0.34615384615384615</x:v>
      </x:c>
      <x:c r="H21" s="2" t="str">
        <x:v>E026</x:v>
      </x:c>
      <x:c r="I21" s="2" t="str">
        <x:v>One of the two most frequently tracked variables.</x:v>
      </x:c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" t="str">
        <x:v>Respiratory</x:v>
      </x:c>
      <x:c r="B22" s="2" t="str">
        <x:v>COPD</x:v>
      </x:c>
      <x:c r="C22" s="2" t="str">
        <x:v>Sensor / signal</x:v>
      </x:c>
      <x:c r="D22" s="2" t="str">
        <x:v>SpO2</x:v>
      </x:c>
      <x:c r="E22" s="2" t="n">
        <x:v>9</x:v>
      </x:c>
      <x:c r="F22" s="2" t="n">
        <x:v>26</x:v>
      </x:c>
      <x:c r="G22" s="46" t="n">
        <x:f>E22/F22</x:f>
        <x:v>0.34615384615384615</x:v>
      </x:c>
      <x:c r="H22" s="2" t="str">
        <x:v>E026</x:v>
      </x:c>
      <x:c r="I22" s="2" t="str">
        <x:v>Core variable for respiratory deterioration.</x:v>
      </x:c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" t="str">
        <x:v>Respiratory</x:v>
      </x:c>
      <x:c r="B23" s="2" t="str">
        <x:v>COPD</x:v>
      </x:c>
      <x:c r="C23" s="2" t="str">
        <x:v>Sensor / signal</x:v>
      </x:c>
      <x:c r="D23" s="2" t="str">
        <x:v>Symptoms</x:v>
      </x:c>
      <x:c r="E23" s="2" t="n">
        <x:v>8</x:v>
      </x:c>
      <x:c r="F23" s="2" t="n">
        <x:v>26</x:v>
      </x:c>
      <x:c r="G23" s="46" t="n">
        <x:f>E23/F23</x:f>
        <x:v>0.3076923076923077</x:v>
      </x:c>
      <x:c r="H23" s="2" t="str">
        <x:v>E026</x:v>
      </x:c>
      <x:c r="I23" s="2" t="str">
        <x:v>Patient-reported symptoms remain nearly as common as device signals.</x:v>
      </x:c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 t="str">
        <x:v>Respiratory</x:v>
      </x:c>
      <x:c r="B24" s="2" t="str">
        <x:v>COPD</x:v>
      </x:c>
      <x:c r="C24" s="2" t="str">
        <x:v>Sampling</x:v>
      </x:c>
      <x:c r="D24" s="2" t="str">
        <x:v>Daily / weekly sampling</x:v>
      </x:c>
      <x:c r="E24" s="2" t="n">
        <x:v>14</x:v>
      </x:c>
      <x:c r="F24" s="2" t="n">
        <x:v>26</x:v>
      </x:c>
      <x:c r="G24" s="46" t="n">
        <x:f>E24/F24</x:f>
        <x:v>0.5384615384615384</x:v>
      </x:c>
      <x:c r="H24" s="2" t="str">
        <x:v>E026</x:v>
      </x:c>
      <x:c r="I24" s="2" t="str">
        <x:v>Most studies do not use high-frequency continuous sensing.</x:v>
      </x:c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 t="str">
        <x:v>Neurology</x:v>
      </x:c>
      <x:c r="B25" s="2" t="str">
        <x:v>Dementia</x:v>
      </x:c>
      <x:c r="C25" s="2" t="str">
        <x:v>Method mix</x:v>
      </x:c>
      <x:c r="D25" s="2" t="str">
        <x:v>Statistical analysis</x:v>
      </x:c>
      <x:c r="E25" s="2" t="n">
        <x:v>36</x:v>
      </x:c>
      <x:c r="F25" s="2" t="n">
        <x:v>49</x:v>
      </x:c>
      <x:c r="G25" s="46" t="n">
        <x:f>E25/F25</x:f>
        <x:v>0.7346938775510204</x:v>
      </x:c>
      <x:c r="H25" s="2" t="str">
        <x:v>E010</x:v>
      </x:c>
      <x:c r="I25" s="2" t="str">
        <x:v>The evidence base is mostly statistical, not AI-heavy.</x:v>
      </x:c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 t="str">
        <x:v>Neurology</x:v>
      </x:c>
      <x:c r="B26" s="2" t="str">
        <x:v>Dementia</x:v>
      </x:c>
      <x:c r="C26" s="2" t="str">
        <x:v>Method mix</x:v>
      </x:c>
      <x:c r="D26" s="2" t="str">
        <x:v>Machine learning</x:v>
      </x:c>
      <x:c r="E26" s="2" t="n">
        <x:v>7</x:v>
      </x:c>
      <x:c r="F26" s="2" t="n">
        <x:v>49</x:v>
      </x:c>
      <x:c r="G26" s="46" t="n">
        <x:f>E26/F26</x:f>
        <x:v>0.14285714285714285</x:v>
      </x:c>
      <x:c r="H26" s="2" t="str">
        <x:v>E010</x:v>
      </x:c>
      <x:c r="I26" s="2" t="str">
        <x:v>ML is a minority of the 2020-2025 evidence base.</x:v>
      </x:c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 t="str">
        <x:v>Neurology</x:v>
      </x:c>
      <x:c r="B27" s="2" t="str">
        <x:v>Dementia</x:v>
      </x:c>
      <x:c r="C27" s="2" t="str">
        <x:v>Method mix</x:v>
      </x:c>
      <x:c r="D27" s="2" t="str">
        <x:v>Deep learning</x:v>
      </x:c>
      <x:c r="E27" s="2" t="n">
        <x:v>6</x:v>
      </x:c>
      <x:c r="F27" s="2" t="n">
        <x:v>49</x:v>
      </x:c>
      <x:c r="G27" s="46" t="n">
        <x:f>E27/F27</x:f>
        <x:v>0.12244897959183673</x:v>
      </x:c>
      <x:c r="H27" s="2" t="str">
        <x:v>E010</x:v>
      </x:c>
      <x:c r="I27" s="2" t="str">
        <x:v>DL is even less common.</x:v>
      </x:c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46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46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46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46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46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46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46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46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46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46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46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46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46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46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46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46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46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46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46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46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46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46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46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46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46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46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46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46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46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46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46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46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46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46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46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46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46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46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46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46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46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46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46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46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46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46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46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46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46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46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46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46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46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46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46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46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46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46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46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46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46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46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46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46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46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46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46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46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46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46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46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46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46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  <x:row r="25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</x:row>
    <x:row r="252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</x:row>
    <x:row r="253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</x:row>
    <x:row r="254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</x:row>
    <x:row r="255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</x:row>
    <x:row r="256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</x:row>
    <x:row r="257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</x:row>
    <x:row r="258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</x:row>
    <x:row r="259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</x:row>
    <x:row r="260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</x:row>
    <x:row r="26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</x:row>
    <x:row r="262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</x:row>
    <x:row r="263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</x:row>
    <x:row r="264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</x:row>
    <x:row r="265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</x:row>
    <x:row r="266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</x:row>
    <x:row r="267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</x:row>
    <x:row r="268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</x:row>
    <x:row r="269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</x:row>
    <x:row r="270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</x:row>
    <x:row r="27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</x:row>
    <x:row r="272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</x:row>
    <x:row r="273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</x:row>
    <x:row r="274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</x:row>
    <x:row r="275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</x:row>
    <x:row r="276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</x:row>
    <x:row r="277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</x:row>
    <x:row r="278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</x:row>
    <x:row r="279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</x:row>
    <x:row r="280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</x:row>
    <x:row r="28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</x:row>
    <x:row r="282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</x:row>
    <x:row r="283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</x:row>
    <x:row r="284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</x:row>
    <x:row r="285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</x:row>
    <x:row r="286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</x:row>
    <x:row r="287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</x:row>
    <x:row r="288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</x:row>
    <x:row r="289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</x:row>
    <x:row r="290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</x:row>
    <x:row r="29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</x:row>
    <x:row r="292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</x:row>
    <x:row r="293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</x:row>
    <x:row r="294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</x:row>
    <x:row r="295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</x:row>
    <x:row r="296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</x:row>
    <x:row r="297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</x:row>
    <x:row r="298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</x:row>
    <x:row r="299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</x:row>
    <x:row r="300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</x:row>
  </x:sheetData>
  <x:conditionalFormatting sqref="G2:G27">
    <x:cfRule type="dataBar" priority="1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{D28BCAF4-43D9-01D7-96E4-0C90F0056001}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08ed426a219a42d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D28BCAF4-43D9-01D7-96E4-0C90F0056001}">
            <x14:dataBar gradient="1">
              <x14:cfvo type="min"/>
              <x14:cfvo type="max"/>
              <x14:fillColor rgb="FF0F766E"/>
            </x14:dataBar>
          </x14:cfRule>
          <xm:sqref>G2:G27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4" hidden="0" customWidth="1"/>
    <x:col min="9" max="9" width="14" hidden="0" customWidth="1"/>
    <x:col min="10" max="10" width="14" hidden="0" customWidth="1"/>
    <x:col min="11" max="11" width="30" hidden="0" customWidth="1"/>
    <x:col min="12" max="12" width="30" hidden="0" customWidth="1"/>
    <x:col min="13" max="13" width="30" hidden="0" customWidth="1"/>
    <x:col min="14" max="14" width="44" hidden="0" customWidth="1"/>
    <x:col min="15" max="15" width="36" hidden="0" customWidth="1"/>
  </x:cols>
  <x:sheetData>
    <x:row r="1" ht="34" customHeight="1">
      <x:c r="A1" s="8" t="str">
        <x:v>NCT_ID</x:v>
      </x:c>
      <x:c r="B1" s="8" t="str">
        <x:v>Title</x:v>
      </x:c>
      <x:c r="C1" s="8" t="str">
        <x:v>Domain</x:v>
      </x:c>
      <x:c r="D1" s="8" t="str">
        <x:v>Status</x:v>
      </x:c>
      <x:c r="E1" s="8" t="str">
        <x:v>Sponsor</x:v>
      </x:c>
      <x:c r="F1" s="8" t="str">
        <x:v>Country</x:v>
      </x:c>
      <x:c r="G1" s="8" t="str">
        <x:v>Study_Type</x:v>
      </x:c>
      <x:c r="H1" s="8" t="str">
        <x:v>Start_Date</x:v>
      </x:c>
      <x:c r="I1" s="8" t="str">
        <x:v>Primary_Completion</x:v>
      </x:c>
      <x:c r="J1" s="8" t="str">
        <x:v>Enrollment</x:v>
      </x:c>
      <x:c r="K1" s="8" t="str">
        <x:v>Wearable_or_Device</x:v>
      </x:c>
      <x:c r="L1" s="8" t="str">
        <x:v>AI_or_Analytics</x:v>
      </x:c>
      <x:c r="M1" s="8" t="str">
        <x:v>Primary_Data_or_Outcome</x:v>
      </x:c>
      <x:c r="N1" s="8" t="str">
        <x:v>Why_Useful</x:v>
      </x:c>
      <x:c r="O1" s="8" t="str">
        <x:v>Source_URL</x:v>
      </x:c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2" t="str">
        <x:v>NCT07058064</x:v>
      </x:c>
      <x:c r="B2" s="2" t="str">
        <x:v>WATCH — Wearable Artificial inTelligence for Cardiac Function and Health Monitoring</x:v>
      </x:c>
      <x:c r="C2" s="2" t="str">
        <x:v>Cardiovascular</x:v>
      </x:c>
      <x:c r="D2" s="2" t="str">
        <x:v>Recruiting</x:v>
      </x:c>
      <x:c r="E2" s="2" t="str">
        <x:v>Mayo Clinic</x:v>
      </x:c>
      <x:c r="F2" s="2" t="str">
        <x:v>United States</x:v>
      </x:c>
      <x:c r="G2" s="2" t="str">
        <x:v>Interventional / randomized</x:v>
      </x:c>
      <x:c r="H2" s="48" t="n">
        <x:v>45856</x:v>
      </x:c>
      <x:c r="I2" s="48" t="n">
        <x:v>47298</x:v>
      </x:c>
      <x:c r="J2" s="2" t="n">
        <x:v>250</x:v>
      </x:c>
      <x:c r="K2" s="2" t="str">
        <x:v>Apple Watch + Kardia ECG</x:v>
      </x:c>
      <x:c r="L2" s="2" t="str">
        <x:v>AI-ECG for reduced LVEF / cardiac dysfunction</x:v>
      </x:c>
      <x:c r="M2" s="2" t="str">
        <x:v>AI-ECG probability of LVEF &lt;50%; Apple Watch cardio fitness</x:v>
      </x:c>
      <x:c r="N2" s="2" t="str">
        <x:v>A 2025-start prospective wearable-AI cardiac surveillance study with repeated validation against clinic ECG/echo.</x:v>
      </x:c>
      <x:c r="O2" s="2" t="str">
        <x:v>https://clinicaltrials.gov/study/NCT07058064</x:v>
      </x:c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2" t="str">
        <x:v>NCT06832579</x:v>
      </x:c>
      <x:c r="B3" s="2" t="str">
        <x:v>Find-AF2 Watch — SmartWatch-driven AF Detection in Stroke Patients</x:v>
      </x:c>
      <x:c r="C3" s="2" t="str">
        <x:v>Cardiovascular</x:v>
      </x:c>
      <x:c r="D3" s="2" t="str">
        <x:v>Active, not recruiting</x:v>
      </x:c>
      <x:c r="E3" s="2" t="str">
        <x:v>University of Leipzig</x:v>
      </x:c>
      <x:c r="F3" s="2" t="str">
        <x:v>Germany</x:v>
      </x:c>
      <x:c r="G3" s="2" t="str">
        <x:v>Interventional</x:v>
      </x:c>
      <x:c r="H3" s="48" t="n">
        <x:v>45792</x:v>
      </x:c>
      <x:c r="I3" s="48" t="n">
        <x:v>46204</x:v>
      </x:c>
      <x:c r="J3" s="2" t="n">
        <x:v>84</x:v>
      </x:c>
      <x:c r="K3" s="2" t="str">
        <x:v>Apple Watch or PulseOn + implanted cardiac monitor</x:v>
      </x:c>
      <x:c r="L3" s="2" t="str">
        <x:v>PPG arrhythmia detection + 1-lead ECG</x:v>
      </x:c>
      <x:c r="M3" s="2" t="str">
        <x:v>Wearable AF detection vs gold-standard implanted monitor</x:v>
      </x:c>
      <x:c r="N3" s="2" t="str">
        <x:v>Direct head-to-head wearable vs ICM study started in 2025.</x:v>
      </x:c>
      <x:c r="O3" s="2" t="str">
        <x:v>https://clinicaltrials.gov/study/NCT06832579</x:v>
      </x:c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2" t="str">
        <x:v>NCT06978842</x:v>
      </x:c>
      <x:c r="B4" s="2" t="str">
        <x:v>Seizure Prediction Using Wearable EEG</x:v>
      </x:c>
      <x:c r="C4" s="2" t="str">
        <x:v>Neurology</x:v>
      </x:c>
      <x:c r="D4" s="2" t="str">
        <x:v>Recruiting</x:v>
      </x:c>
      <x:c r="E4" s="2" t="str">
        <x:v>Dux Healthcare Inc.</x:v>
      </x:c>
      <x:c r="F4" s="2" t="str">
        <x:v>Multicenter</x:v>
      </x:c>
      <x:c r="G4" s="2" t="str">
        <x:v>Observational</x:v>
      </x:c>
      <x:c r="H4" s="48" t="n">
        <x:v>45827</x:v>
      </x:c>
      <x:c r="I4" s="48" t="n">
        <x:v>46082</x:v>
      </x:c>
      <x:c r="J4" s="2" t="n">
        <x:v>150</x:v>
      </x:c>
      <x:c r="K4" s="2" t="str">
        <x:v>Wearable EEG headband</x:v>
      </x:c>
      <x:c r="L4" s="2" t="str">
        <x:v>Real-time pre-ictal seizure prediction algorithm</x:v>
      </x:c>
      <x:c r="M4" s="2" t="str">
        <x:v>Forecast pre-ictal EEG patterns</x:v>
      </x:c>
      <x:c r="N4" s="2" t="str">
        <x:v>Strict 2025-26 prospective data collection for seizure forecasting.</x:v>
      </x:c>
      <x:c r="O4" s="2" t="str">
        <x:v>https://clinicaltrials.gov/study/NCT06978842</x:v>
      </x:c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>
      <x:c r="A5" s="2" t="str">
        <x:v>NCT07012148</x:v>
      </x:c>
      <x:c r="B5" s="2" t="str">
        <x:v>FORESITE — Optimizing Therapy in Epilepsy Using Seizure Forecasts Via EEG and Wearables</x:v>
      </x:c>
      <x:c r="C5" s="2" t="str">
        <x:v>Neurology</x:v>
      </x:c>
      <x:c r="D5" s="2" t="str">
        <x:v>Recruiting</x:v>
      </x:c>
      <x:c r="E5" s="2" t="str">
        <x:v>Mayo Clinic</x:v>
      </x:c>
      <x:c r="F5" s="2" t="str">
        <x:v>United States</x:v>
      </x:c>
      <x:c r="G5" s="2" t="str">
        <x:v>Interventional</x:v>
      </x:c>
      <x:c r="H5" s="48" t="n">
        <x:v>46042</x:v>
      </x:c>
      <x:c r="I5" s="48" t="n">
        <x:v>47088</x:v>
      </x:c>
      <x:c r="J5" s="2" t="n">
        <x:v>12</x:v>
      </x:c>
      <x:c r="K5" s="2" t="str">
        <x:v>UNEEG SubQ + wearables</x:v>
      </x:c>
      <x:c r="L5" s="2" t="str">
        <x:v>Seizure forecasting</x:v>
      </x:c>
      <x:c r="M5" s="2" t="str">
        <x:v>Safety / feasibility of seizure forecasts</x:v>
      </x:c>
      <x:c r="N5" s="2" t="str">
        <x:v>Small but high-value prospective 2026 study of clinically actionable forecasting.</x:v>
      </x:c>
      <x:c r="O5" s="2" t="str">
        <x:v>https://clinicaltrials.gov/study/NCT07012148</x:v>
      </x:c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>
      <x:c r="A6" s="2" t="str">
        <x:v>NCT07151846</x:v>
      </x:c>
      <x:c r="B6" s="2" t="str">
        <x:v>Digital Phenotypes for Predicting Depression</x:v>
      </x:c>
      <x:c r="C6" s="2" t="str">
        <x:v>Mental health</x:v>
      </x:c>
      <x:c r="D6" s="2" t="str">
        <x:v>Enrolling by invitation</x:v>
      </x:c>
      <x:c r="E6" s="2" t="str">
        <x:v>Korea University Anam Hospital</x:v>
      </x:c>
      <x:c r="F6" s="2" t="str">
        <x:v>South Korea</x:v>
      </x:c>
      <x:c r="G6" s="2" t="str">
        <x:v>Longitudinal observational</x:v>
      </x:c>
      <x:c r="H6" s="48"/>
      <x:c r="I6" s="48"/>
      <x:c r="J6" s="2" t="n">
        <x:v>540</x:v>
      </x:c>
      <x:c r="K6" s="2" t="str">
        <x:v>Fitbit + smartphone app</x:v>
      </x:c>
      <x:c r="L6" s="2" t="str">
        <x:v>AI predictive models</x:v>
      </x:c>
      <x:c r="M6" s="2" t="str">
        <x:v>12-month recurrence prediction from passive sensing</x:v>
      </x:c>
      <x:c r="N6" s="2" t="str">
        <x:v>Large longitudinal wearable digital-phenotype cohort; useful for prediction rather than cross-sectional detection.</x:v>
      </x:c>
      <x:c r="O6" s="2" t="str">
        <x:v>https://clinicaltrials.gov/study/NCT07151846</x:v>
      </x:c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>
      <x:c r="A7" s="2" t="str">
        <x:v>NCT07500714</x:v>
      </x:c>
      <x:c r="B7" s="2" t="str">
        <x:v>Digital Phenotypes + AI-Driven CBT for Depression</x:v>
      </x:c>
      <x:c r="C7" s="2" t="str">
        <x:v>Mental health</x:v>
      </x:c>
      <x:c r="D7" s="2" t="str">
        <x:v>Recruiting</x:v>
      </x:c>
      <x:c r="E7" s="2" t="str">
        <x:v>National Science and Technology Council</x:v>
      </x:c>
      <x:c r="F7" s="2" t="str">
        <x:v>Taiwan</x:v>
      </x:c>
      <x:c r="G7" s="2" t="str">
        <x:v>Interventional</x:v>
      </x:c>
      <x:c r="H7" s="48" t="n">
        <x:v>45809</x:v>
      </x:c>
      <x:c r="I7" s="48" t="n">
        <x:v>46539</x:v>
      </x:c>
      <x:c r="J7" s="2" t="n">
        <x:v>100</x:v>
      </x:c>
      <x:c r="K7" s="2" t="str">
        <x:v>Digital phenotyping platform</x:v>
      </x:c>
      <x:c r="L7" s="2" t="str">
        <x:v>AI-driven personalized iCBT / physiological markers</x:v>
      </x:c>
      <x:c r="M7" s="2" t="str">
        <x:v>Dynamic behavioral + physiological markers and treatment response</x:v>
      </x:c>
      <x:c r="N7" s="2" t="str">
        <x:v>Combines real-time digital phenotyping with an intervention.</x:v>
      </x:c>
      <x:c r="O7" s="2" t="str">
        <x:v>https://clinicaltrials.gov/study/NCT07500714</x:v>
      </x:c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>
      <x:c r="A8" s="2" t="str">
        <x:v>NCT07633171</x:v>
      </x:c>
      <x:c r="B8" s="2" t="str">
        <x:v>Multimodal Glucose Prediction in Type 2 Diabetes</x:v>
      </x:c>
      <x:c r="C8" s="2" t="str">
        <x:v>Metabolic</x:v>
      </x:c>
      <x:c r="D8" s="2" t="str">
        <x:v>Not yet recruiting</x:v>
      </x:c>
      <x:c r="E8" s="2" t="str">
        <x:v>Johns Hopkins University</x:v>
      </x:c>
      <x:c r="F8" s="2" t="str">
        <x:v>United States</x:v>
      </x:c>
      <x:c r="G8" s="2" t="str">
        <x:v>Observational</x:v>
      </x:c>
      <x:c r="H8" s="48" t="n">
        <x:v>46188</x:v>
      </x:c>
      <x:c r="I8" s="48" t="n">
        <x:v>46402</x:v>
      </x:c>
      <x:c r="J8" s="2" t="n">
        <x:v>36</x:v>
      </x:c>
      <x:c r="K8" s="2" t="str">
        <x:v>Samsung Galaxy Watch + CGM + Welldoc</x:v>
      </x:c>
      <x:c r="L8" s="2" t="str">
        <x:v>Multimodal foundation / glucose prediction models</x:v>
      </x:c>
      <x:c r="M8" s="2" t="str">
        <x:v>CGM RMSE; activity, sleep, vitals, meals, meds</x:v>
      </x:c>
      <x:c r="N8" s="2" t="str">
        <x:v>A clean 2026 multimodal dataset design linking CGM to smartwatch and behavior.</x:v>
      </x:c>
      <x:c r="O8" s="2" t="str">
        <x:v>https://clinicaltrials.gov/study/NCT07633171</x:v>
      </x:c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>
      <x:c r="A9" s="2" t="str">
        <x:v>NCT07005362</x:v>
      </x:c>
      <x:c r="B9" s="2" t="str">
        <x:v>Fitbit and AI Chatbot in Sedentary Primary Care Patients With T2D</x:v>
      </x:c>
      <x:c r="C9" s="2" t="str">
        <x:v>Metabolic</x:v>
      </x:c>
      <x:c r="D9" s="2" t="str">
        <x:v>Recruiting</x:v>
      </x:c>
      <x:c r="E9" s="2" t="str">
        <x:v>University of Colorado Anschutz</x:v>
      </x:c>
      <x:c r="F9" s="2" t="str">
        <x:v>United States</x:v>
      </x:c>
      <x:c r="G9" s="2" t="str">
        <x:v>Interventional</x:v>
      </x:c>
      <x:c r="H9" s="48" t="n">
        <x:v>45903</x:v>
      </x:c>
      <x:c r="I9" s="48" t="n">
        <x:v>46264</x:v>
      </x:c>
      <x:c r="J9" s="2" t="n">
        <x:v>36</x:v>
      </x:c>
      <x:c r="K9" s="2" t="str">
        <x:v>Fitbit</x:v>
      </x:c>
      <x:c r="L9" s="2" t="str">
        <x:v>AI chatbot + targeted text messaging</x:v>
      </x:c>
      <x:c r="M9" s="2" t="str">
        <x:v>Feasibility / behavior / diabetes self-management</x:v>
      </x:c>
      <x:c r="N9" s="2" t="str">
        <x:v>Real-world primary-care use of wearable + conversational AI begun in 2025.</x:v>
      </x:c>
      <x:c r="O9" s="2" t="str">
        <x:v>https://clinicaltrials.gov/study/NCT07005362</x:v>
      </x:c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>
      <x:c r="A10" s="2"/>
      <x:c r="B10" s="2"/>
      <x:c r="C10" s="2"/>
      <x:c r="D10" s="2"/>
      <x:c r="E10" s="2"/>
      <x:c r="F10" s="2"/>
      <x:c r="G10" s="2"/>
      <x:c r="H10" s="48"/>
      <x:c r="I10" s="48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>
      <x:c r="A11" s="2"/>
      <x:c r="B11" s="2"/>
      <x:c r="C11" s="2"/>
      <x:c r="D11" s="2"/>
      <x:c r="E11" s="2"/>
      <x:c r="F11" s="2"/>
      <x:c r="G11" s="2"/>
      <x:c r="H11" s="48"/>
      <x:c r="I11" s="48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>
      <x:c r="A12" s="2"/>
      <x:c r="B12" s="2"/>
      <x:c r="C12" s="2"/>
      <x:c r="D12" s="2"/>
      <x:c r="E12" s="2"/>
      <x:c r="F12" s="2"/>
      <x:c r="G12" s="2"/>
      <x:c r="H12" s="48"/>
      <x:c r="I12" s="48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>
      <x:c r="A13" s="2"/>
      <x:c r="B13" s="2"/>
      <x:c r="C13" s="2"/>
      <x:c r="D13" s="2"/>
      <x:c r="E13" s="2"/>
      <x:c r="F13" s="2"/>
      <x:c r="G13" s="2"/>
      <x:c r="H13" s="48"/>
      <x:c r="I13" s="48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>
      <x:c r="A14" s="2"/>
      <x:c r="B14" s="2"/>
      <x:c r="C14" s="2"/>
      <x:c r="D14" s="2"/>
      <x:c r="E14" s="2"/>
      <x:c r="F14" s="2"/>
      <x:c r="G14" s="2"/>
      <x:c r="H14" s="48"/>
      <x:c r="I14" s="48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>
      <x:c r="A15" s="2"/>
      <x:c r="B15" s="2"/>
      <x:c r="C15" s="2"/>
      <x:c r="D15" s="2"/>
      <x:c r="E15" s="2"/>
      <x:c r="F15" s="2"/>
      <x:c r="G15" s="2"/>
      <x:c r="H15" s="48"/>
      <x:c r="I15" s="48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2"/>
      <x:c r="B16" s="2"/>
      <x:c r="C16" s="2"/>
      <x:c r="D16" s="2"/>
      <x:c r="E16" s="2"/>
      <x:c r="F16" s="2"/>
      <x:c r="G16" s="2"/>
      <x:c r="H16" s="48"/>
      <x:c r="I16" s="48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2"/>
      <x:c r="B17" s="2"/>
      <x:c r="C17" s="2"/>
      <x:c r="D17" s="2"/>
      <x:c r="E17" s="2"/>
      <x:c r="F17" s="2"/>
      <x:c r="G17" s="2"/>
      <x:c r="H17" s="48"/>
      <x:c r="I17" s="48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2"/>
      <x:c r="B18" s="2"/>
      <x:c r="C18" s="2"/>
      <x:c r="D18" s="2"/>
      <x:c r="E18" s="2"/>
      <x:c r="F18" s="2"/>
      <x:c r="G18" s="2"/>
      <x:c r="H18" s="48"/>
      <x:c r="I18" s="48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2"/>
      <x:c r="B19" s="2"/>
      <x:c r="C19" s="2"/>
      <x:c r="D19" s="2"/>
      <x:c r="E19" s="2"/>
      <x:c r="F19" s="2"/>
      <x:c r="G19" s="2"/>
      <x:c r="H19" s="48"/>
      <x:c r="I19" s="48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2"/>
      <x:c r="B20" s="2"/>
      <x:c r="C20" s="2"/>
      <x:c r="D20" s="2"/>
      <x:c r="E20" s="2"/>
      <x:c r="F20" s="2"/>
      <x:c r="G20" s="2"/>
      <x:c r="H20" s="48"/>
      <x:c r="I20" s="48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2"/>
      <x:c r="B21" s="2"/>
      <x:c r="C21" s="2"/>
      <x:c r="D21" s="2"/>
      <x:c r="E21" s="2"/>
      <x:c r="F21" s="2"/>
      <x:c r="G21" s="2"/>
      <x:c r="H21" s="48"/>
      <x:c r="I21" s="48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"/>
      <x:c r="B22" s="2"/>
      <x:c r="C22" s="2"/>
      <x:c r="D22" s="2"/>
      <x:c r="E22" s="2"/>
      <x:c r="F22" s="2"/>
      <x:c r="G22" s="2"/>
      <x:c r="H22" s="48"/>
      <x:c r="I22" s="48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"/>
      <x:c r="B23" s="2"/>
      <x:c r="C23" s="2"/>
      <x:c r="D23" s="2"/>
      <x:c r="E23" s="2"/>
      <x:c r="F23" s="2"/>
      <x:c r="G23" s="2"/>
      <x:c r="H23" s="48"/>
      <x:c r="I23" s="48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/>
      <x:c r="B24" s="2"/>
      <x:c r="C24" s="2"/>
      <x:c r="D24" s="2"/>
      <x:c r="E24" s="2"/>
      <x:c r="F24" s="2"/>
      <x:c r="G24" s="2"/>
      <x:c r="H24" s="48"/>
      <x:c r="I24" s="48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2"/>
      <x:c r="C25" s="2"/>
      <x:c r="D25" s="2"/>
      <x:c r="E25" s="2"/>
      <x:c r="F25" s="2"/>
      <x:c r="G25" s="2"/>
      <x:c r="H25" s="48"/>
      <x:c r="I25" s="48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48"/>
      <x:c r="I26" s="48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48"/>
      <x:c r="I27" s="48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48"/>
      <x:c r="I28" s="48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48"/>
      <x:c r="I29" s="48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48"/>
      <x:c r="I30" s="48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48"/>
      <x:c r="I31" s="48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48"/>
      <x:c r="I32" s="48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48"/>
      <x:c r="I33" s="48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48"/>
      <x:c r="I34" s="48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48"/>
      <x:c r="I35" s="48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48"/>
      <x:c r="I36" s="48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48"/>
      <x:c r="I37" s="48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48"/>
      <x:c r="I38" s="48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48"/>
      <x:c r="I39" s="48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48"/>
      <x:c r="I40" s="48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48"/>
      <x:c r="I41" s="48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48"/>
      <x:c r="I42" s="48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48"/>
      <x:c r="I43" s="48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48"/>
      <x:c r="I44" s="48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48"/>
      <x:c r="I45" s="48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48"/>
      <x:c r="I46" s="48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48"/>
      <x:c r="I47" s="48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48"/>
      <x:c r="I48" s="48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48"/>
      <x:c r="I49" s="48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48"/>
      <x:c r="I50" s="48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48"/>
      <x:c r="I51" s="48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48"/>
      <x:c r="I52" s="48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48"/>
      <x:c r="I53" s="48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48"/>
      <x:c r="I54" s="48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48"/>
      <x:c r="I55" s="48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48"/>
      <x:c r="I56" s="48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48"/>
      <x:c r="I57" s="48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48"/>
      <x:c r="I58" s="48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48"/>
      <x:c r="I59" s="48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48"/>
      <x:c r="I60" s="48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48"/>
      <x:c r="I61" s="48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48"/>
      <x:c r="I62" s="48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48"/>
      <x:c r="I63" s="48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48"/>
      <x:c r="I64" s="48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48"/>
      <x:c r="I65" s="48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48"/>
      <x:c r="I66" s="48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48"/>
      <x:c r="I67" s="48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48"/>
      <x:c r="I68" s="48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48"/>
      <x:c r="I69" s="48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48"/>
      <x:c r="I70" s="48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48"/>
      <x:c r="I71" s="48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48"/>
      <x:c r="I72" s="48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48"/>
      <x:c r="I73" s="48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48"/>
      <x:c r="I74" s="48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48"/>
      <x:c r="I75" s="48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48"/>
      <x:c r="I76" s="48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48"/>
      <x:c r="I77" s="48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48"/>
      <x:c r="I78" s="48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48"/>
      <x:c r="I79" s="48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48"/>
      <x:c r="I80" s="48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48"/>
      <x:c r="I81" s="48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48"/>
      <x:c r="I82" s="48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48"/>
      <x:c r="I83" s="48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48"/>
      <x:c r="I84" s="48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48"/>
      <x:c r="I85" s="48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48"/>
      <x:c r="I86" s="48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48"/>
      <x:c r="I87" s="48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48"/>
      <x:c r="I88" s="48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48"/>
      <x:c r="I89" s="48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48"/>
      <x:c r="I90" s="48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48"/>
      <x:c r="I91" s="48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48"/>
      <x:c r="I92" s="48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48"/>
      <x:c r="I93" s="48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48"/>
      <x:c r="I94" s="48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48"/>
      <x:c r="I95" s="48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48"/>
      <x:c r="I96" s="48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48"/>
      <x:c r="I97" s="48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48"/>
      <x:c r="I98" s="48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48"/>
      <x:c r="I99" s="48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48"/>
      <x:c r="I100" s="48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48"/>
      <x:c r="I101" s="48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48"/>
      <x:c r="I102" s="48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48"/>
      <x:c r="I103" s="48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48"/>
      <x:c r="I104" s="48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48"/>
      <x:c r="I105" s="48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48"/>
      <x:c r="I106" s="48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48"/>
      <x:c r="I107" s="48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48"/>
      <x:c r="I108" s="48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48"/>
      <x:c r="I109" s="48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48"/>
      <x:c r="I110" s="48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48"/>
      <x:c r="I111" s="48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48"/>
      <x:c r="I112" s="48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48"/>
      <x:c r="I113" s="48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48"/>
      <x:c r="I114" s="48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48"/>
      <x:c r="I115" s="48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48"/>
      <x:c r="I116" s="48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48"/>
      <x:c r="I117" s="48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48"/>
      <x:c r="I118" s="48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48"/>
      <x:c r="I119" s="48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48"/>
      <x:c r="I120" s="48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48"/>
      <x:c r="I121" s="48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48"/>
      <x:c r="I122" s="48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48"/>
      <x:c r="I123" s="48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48"/>
      <x:c r="I124" s="48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48"/>
      <x:c r="I125" s="48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48"/>
      <x:c r="I126" s="48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48"/>
      <x:c r="I127" s="48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48"/>
      <x:c r="I128" s="48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48"/>
      <x:c r="I129" s="48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48"/>
      <x:c r="I130" s="48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48"/>
      <x:c r="I131" s="48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48"/>
      <x:c r="I132" s="48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48"/>
      <x:c r="I133" s="48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48"/>
      <x:c r="I134" s="48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48"/>
      <x:c r="I135" s="48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48"/>
      <x:c r="I136" s="48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48"/>
      <x:c r="I137" s="48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48"/>
      <x:c r="I138" s="48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48"/>
      <x:c r="I139" s="48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48"/>
      <x:c r="I140" s="48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48"/>
      <x:c r="I141" s="48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48"/>
      <x:c r="I142" s="48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48"/>
      <x:c r="I143" s="48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48"/>
      <x:c r="I144" s="48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48"/>
      <x:c r="I145" s="48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48"/>
      <x:c r="I146" s="48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48"/>
      <x:c r="I147" s="48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48"/>
      <x:c r="I148" s="48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48"/>
      <x:c r="I149" s="48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48"/>
      <x:c r="I150" s="48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48"/>
      <x:c r="I151" s="48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48"/>
      <x:c r="I152" s="48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48"/>
      <x:c r="I153" s="48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48"/>
      <x:c r="I154" s="48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48"/>
      <x:c r="I155" s="48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48"/>
      <x:c r="I156" s="48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48"/>
      <x:c r="I157" s="48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48"/>
      <x:c r="I158" s="48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48"/>
      <x:c r="I159" s="48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48"/>
      <x:c r="I160" s="48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48"/>
      <x:c r="I161" s="48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48"/>
      <x:c r="I162" s="48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48"/>
      <x:c r="I163" s="48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48"/>
      <x:c r="I164" s="48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48"/>
      <x:c r="I165" s="48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48"/>
      <x:c r="I166" s="48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48"/>
      <x:c r="I167" s="48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48"/>
      <x:c r="I168" s="48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48"/>
      <x:c r="I169" s="48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48"/>
      <x:c r="I170" s="48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48"/>
      <x:c r="I171" s="48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48"/>
      <x:c r="I172" s="48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48"/>
      <x:c r="I173" s="48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48"/>
      <x:c r="I174" s="48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48"/>
      <x:c r="I175" s="48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48"/>
      <x:c r="I176" s="48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48"/>
      <x:c r="I177" s="48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48"/>
      <x:c r="I178" s="48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48"/>
      <x:c r="I179" s="48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48"/>
      <x:c r="I180" s="48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48"/>
      <x:c r="I181" s="48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48"/>
      <x:c r="I182" s="48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48"/>
      <x:c r="I183" s="48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48"/>
      <x:c r="I184" s="48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48"/>
      <x:c r="I185" s="48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48"/>
      <x:c r="I186" s="48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48"/>
      <x:c r="I187" s="48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48"/>
      <x:c r="I188" s="48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48"/>
      <x:c r="I189" s="48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48"/>
      <x:c r="I190" s="48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48"/>
      <x:c r="I191" s="48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48"/>
      <x:c r="I192" s="48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48"/>
      <x:c r="I193" s="48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48"/>
      <x:c r="I194" s="48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48"/>
      <x:c r="I195" s="48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48"/>
      <x:c r="I196" s="48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48"/>
      <x:c r="I197" s="48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48"/>
      <x:c r="I198" s="48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48"/>
      <x:c r="I199" s="48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48"/>
      <x:c r="I200" s="48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>
      <x:c r="A201" s="2"/>
      <x:c r="B201" s="2"/>
      <x:c r="C201" s="2"/>
      <x:c r="D201" s="2"/>
      <x:c r="E201" s="2"/>
      <x:c r="F201" s="2"/>
      <x:c r="G201" s="2"/>
      <x:c r="H201" s="48"/>
      <x:c r="I201" s="48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>
      <x:c r="A202" s="2"/>
      <x:c r="B202" s="2"/>
      <x:c r="C202" s="2"/>
      <x:c r="D202" s="2"/>
      <x:c r="E202" s="2"/>
      <x:c r="F202" s="2"/>
      <x:c r="G202" s="2"/>
      <x:c r="H202" s="48"/>
      <x:c r="I202" s="48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>
      <x:c r="A203" s="2"/>
      <x:c r="B203" s="2"/>
      <x:c r="C203" s="2"/>
      <x:c r="D203" s="2"/>
      <x:c r="E203" s="2"/>
      <x:c r="F203" s="2"/>
      <x:c r="G203" s="2"/>
      <x:c r="H203" s="48"/>
      <x:c r="I203" s="48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>
      <x:c r="A204" s="2"/>
      <x:c r="B204" s="2"/>
      <x:c r="C204" s="2"/>
      <x:c r="D204" s="2"/>
      <x:c r="E204" s="2"/>
      <x:c r="F204" s="2"/>
      <x:c r="G204" s="2"/>
      <x:c r="H204" s="48"/>
      <x:c r="I204" s="48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>
      <x:c r="A205" s="2"/>
      <x:c r="B205" s="2"/>
      <x:c r="C205" s="2"/>
      <x:c r="D205" s="2"/>
      <x:c r="E205" s="2"/>
      <x:c r="F205" s="2"/>
      <x:c r="G205" s="2"/>
      <x:c r="H205" s="48"/>
      <x:c r="I205" s="48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>
      <x:c r="A206" s="2"/>
      <x:c r="B206" s="2"/>
      <x:c r="C206" s="2"/>
      <x:c r="D206" s="2"/>
      <x:c r="E206" s="2"/>
      <x:c r="F206" s="2"/>
      <x:c r="G206" s="2"/>
      <x:c r="H206" s="48"/>
      <x:c r="I206" s="48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>
      <x:c r="A207" s="2"/>
      <x:c r="B207" s="2"/>
      <x:c r="C207" s="2"/>
      <x:c r="D207" s="2"/>
      <x:c r="E207" s="2"/>
      <x:c r="F207" s="2"/>
      <x:c r="G207" s="2"/>
      <x:c r="H207" s="48"/>
      <x:c r="I207" s="48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>
      <x:c r="A208" s="2"/>
      <x:c r="B208" s="2"/>
      <x:c r="C208" s="2"/>
      <x:c r="D208" s="2"/>
      <x:c r="E208" s="2"/>
      <x:c r="F208" s="2"/>
      <x:c r="G208" s="2"/>
      <x:c r="H208" s="48"/>
      <x:c r="I208" s="48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>
      <x:c r="A209" s="2"/>
      <x:c r="B209" s="2"/>
      <x:c r="C209" s="2"/>
      <x:c r="D209" s="2"/>
      <x:c r="E209" s="2"/>
      <x:c r="F209" s="2"/>
      <x:c r="G209" s="2"/>
      <x:c r="H209" s="48"/>
      <x:c r="I209" s="48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>
      <x:c r="A210" s="2"/>
      <x:c r="B210" s="2"/>
      <x:c r="C210" s="2"/>
      <x:c r="D210" s="2"/>
      <x:c r="E210" s="2"/>
      <x:c r="F210" s="2"/>
      <x:c r="G210" s="2"/>
      <x:c r="H210" s="48"/>
      <x:c r="I210" s="48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>
      <x:c r="A211" s="2"/>
      <x:c r="B211" s="2"/>
      <x:c r="C211" s="2"/>
      <x:c r="D211" s="2"/>
      <x:c r="E211" s="2"/>
      <x:c r="F211" s="2"/>
      <x:c r="G211" s="2"/>
      <x:c r="H211" s="48"/>
      <x:c r="I211" s="48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>
      <x:c r="A212" s="2"/>
      <x:c r="B212" s="2"/>
      <x:c r="C212" s="2"/>
      <x:c r="D212" s="2"/>
      <x:c r="E212" s="2"/>
      <x:c r="F212" s="2"/>
      <x:c r="G212" s="2"/>
      <x:c r="H212" s="48"/>
      <x:c r="I212" s="48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>
      <x:c r="A213" s="2"/>
      <x:c r="B213" s="2"/>
      <x:c r="C213" s="2"/>
      <x:c r="D213" s="2"/>
      <x:c r="E213" s="2"/>
      <x:c r="F213" s="2"/>
      <x:c r="G213" s="2"/>
      <x:c r="H213" s="48"/>
      <x:c r="I213" s="48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>
      <x:c r="A214" s="2"/>
      <x:c r="B214" s="2"/>
      <x:c r="C214" s="2"/>
      <x:c r="D214" s="2"/>
      <x:c r="E214" s="2"/>
      <x:c r="F214" s="2"/>
      <x:c r="G214" s="2"/>
      <x:c r="H214" s="48"/>
      <x:c r="I214" s="48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>
      <x:c r="A215" s="2"/>
      <x:c r="B215" s="2"/>
      <x:c r="C215" s="2"/>
      <x:c r="D215" s="2"/>
      <x:c r="E215" s="2"/>
      <x:c r="F215" s="2"/>
      <x:c r="G215" s="2"/>
      <x:c r="H215" s="48"/>
      <x:c r="I215" s="48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>
      <x:c r="A216" s="2"/>
      <x:c r="B216" s="2"/>
      <x:c r="C216" s="2"/>
      <x:c r="D216" s="2"/>
      <x:c r="E216" s="2"/>
      <x:c r="F216" s="2"/>
      <x:c r="G216" s="2"/>
      <x:c r="H216" s="48"/>
      <x:c r="I216" s="48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>
      <x:c r="A217" s="2"/>
      <x:c r="B217" s="2"/>
      <x:c r="C217" s="2"/>
      <x:c r="D217" s="2"/>
      <x:c r="E217" s="2"/>
      <x:c r="F217" s="2"/>
      <x:c r="G217" s="2"/>
      <x:c r="H217" s="48"/>
      <x:c r="I217" s="48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>
      <x:c r="A218" s="2"/>
      <x:c r="B218" s="2"/>
      <x:c r="C218" s="2"/>
      <x:c r="D218" s="2"/>
      <x:c r="E218" s="2"/>
      <x:c r="F218" s="2"/>
      <x:c r="G218" s="2"/>
      <x:c r="H218" s="48"/>
      <x:c r="I218" s="48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>
      <x:c r="A219" s="2"/>
      <x:c r="B219" s="2"/>
      <x:c r="C219" s="2"/>
      <x:c r="D219" s="2"/>
      <x:c r="E219" s="2"/>
      <x:c r="F219" s="2"/>
      <x:c r="G219" s="2"/>
      <x:c r="H219" s="48"/>
      <x:c r="I219" s="48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>
      <x:c r="A220" s="2"/>
      <x:c r="B220" s="2"/>
      <x:c r="C220" s="2"/>
      <x:c r="D220" s="2"/>
      <x:c r="E220" s="2"/>
      <x:c r="F220" s="2"/>
      <x:c r="G220" s="2"/>
      <x:c r="H220" s="48"/>
      <x:c r="I220" s="48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>
      <x:c r="A221" s="2"/>
      <x:c r="B221" s="2"/>
      <x:c r="C221" s="2"/>
      <x:c r="D221" s="2"/>
      <x:c r="E221" s="2"/>
      <x:c r="F221" s="2"/>
      <x:c r="G221" s="2"/>
      <x:c r="H221" s="48"/>
      <x:c r="I221" s="48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>
      <x:c r="A222" s="2"/>
      <x:c r="B222" s="2"/>
      <x:c r="C222" s="2"/>
      <x:c r="D222" s="2"/>
      <x:c r="E222" s="2"/>
      <x:c r="F222" s="2"/>
      <x:c r="G222" s="2"/>
      <x:c r="H222" s="48"/>
      <x:c r="I222" s="48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>
      <x:c r="A223" s="2"/>
      <x:c r="B223" s="2"/>
      <x:c r="C223" s="2"/>
      <x:c r="D223" s="2"/>
      <x:c r="E223" s="2"/>
      <x:c r="F223" s="2"/>
      <x:c r="G223" s="2"/>
      <x:c r="H223" s="48"/>
      <x:c r="I223" s="48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>
      <x:c r="A224" s="2"/>
      <x:c r="B224" s="2"/>
      <x:c r="C224" s="2"/>
      <x:c r="D224" s="2"/>
      <x:c r="E224" s="2"/>
      <x:c r="F224" s="2"/>
      <x:c r="G224" s="2"/>
      <x:c r="H224" s="48"/>
      <x:c r="I224" s="48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>
      <x:c r="A225" s="2"/>
      <x:c r="B225" s="2"/>
      <x:c r="C225" s="2"/>
      <x:c r="D225" s="2"/>
      <x:c r="E225" s="2"/>
      <x:c r="F225" s="2"/>
      <x:c r="G225" s="2"/>
      <x:c r="H225" s="48"/>
      <x:c r="I225" s="48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>
      <x:c r="A226" s="2"/>
      <x:c r="B226" s="2"/>
      <x:c r="C226" s="2"/>
      <x:c r="D226" s="2"/>
      <x:c r="E226" s="2"/>
      <x:c r="F226" s="2"/>
      <x:c r="G226" s="2"/>
      <x:c r="H226" s="48"/>
      <x:c r="I226" s="48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>
      <x:c r="A227" s="2"/>
      <x:c r="B227" s="2"/>
      <x:c r="C227" s="2"/>
      <x:c r="D227" s="2"/>
      <x:c r="E227" s="2"/>
      <x:c r="F227" s="2"/>
      <x:c r="G227" s="2"/>
      <x:c r="H227" s="48"/>
      <x:c r="I227" s="48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>
      <x:c r="A228" s="2"/>
      <x:c r="B228" s="2"/>
      <x:c r="C228" s="2"/>
      <x:c r="D228" s="2"/>
      <x:c r="E228" s="2"/>
      <x:c r="F228" s="2"/>
      <x:c r="G228" s="2"/>
      <x:c r="H228" s="48"/>
      <x:c r="I228" s="48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>
      <x:c r="A229" s="2"/>
      <x:c r="B229" s="2"/>
      <x:c r="C229" s="2"/>
      <x:c r="D229" s="2"/>
      <x:c r="E229" s="2"/>
      <x:c r="F229" s="2"/>
      <x:c r="G229" s="2"/>
      <x:c r="H229" s="48"/>
      <x:c r="I229" s="48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>
      <x:c r="A230" s="2"/>
      <x:c r="B230" s="2"/>
      <x:c r="C230" s="2"/>
      <x:c r="D230" s="2"/>
      <x:c r="E230" s="2"/>
      <x:c r="F230" s="2"/>
      <x:c r="G230" s="2"/>
      <x:c r="H230" s="48"/>
      <x:c r="I230" s="48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>
      <x:c r="A231" s="2"/>
      <x:c r="B231" s="2"/>
      <x:c r="C231" s="2"/>
      <x:c r="D231" s="2"/>
      <x:c r="E231" s="2"/>
      <x:c r="F231" s="2"/>
      <x:c r="G231" s="2"/>
      <x:c r="H231" s="48"/>
      <x:c r="I231" s="48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>
      <x:c r="A232" s="2"/>
      <x:c r="B232" s="2"/>
      <x:c r="C232" s="2"/>
      <x:c r="D232" s="2"/>
      <x:c r="E232" s="2"/>
      <x:c r="F232" s="2"/>
      <x:c r="G232" s="2"/>
      <x:c r="H232" s="48"/>
      <x:c r="I232" s="48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>
      <x:c r="A233" s="2"/>
      <x:c r="B233" s="2"/>
      <x:c r="C233" s="2"/>
      <x:c r="D233" s="2"/>
      <x:c r="E233" s="2"/>
      <x:c r="F233" s="2"/>
      <x:c r="G233" s="2"/>
      <x:c r="H233" s="48"/>
      <x:c r="I233" s="48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>
      <x:c r="A234" s="2"/>
      <x:c r="B234" s="2"/>
      <x:c r="C234" s="2"/>
      <x:c r="D234" s="2"/>
      <x:c r="E234" s="2"/>
      <x:c r="F234" s="2"/>
      <x:c r="G234" s="2"/>
      <x:c r="H234" s="48"/>
      <x:c r="I234" s="48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>
      <x:c r="A235" s="2"/>
      <x:c r="B235" s="2"/>
      <x:c r="C235" s="2"/>
      <x:c r="D235" s="2"/>
      <x:c r="E235" s="2"/>
      <x:c r="F235" s="2"/>
      <x:c r="G235" s="2"/>
      <x:c r="H235" s="48"/>
      <x:c r="I235" s="48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>
      <x:c r="A236" s="2"/>
      <x:c r="B236" s="2"/>
      <x:c r="C236" s="2"/>
      <x:c r="D236" s="2"/>
      <x:c r="E236" s="2"/>
      <x:c r="F236" s="2"/>
      <x:c r="G236" s="2"/>
      <x:c r="H236" s="48"/>
      <x:c r="I236" s="48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>
      <x:c r="A237" s="2"/>
      <x:c r="B237" s="2"/>
      <x:c r="C237" s="2"/>
      <x:c r="D237" s="2"/>
      <x:c r="E237" s="2"/>
      <x:c r="F237" s="2"/>
      <x:c r="G237" s="2"/>
      <x:c r="H237" s="48"/>
      <x:c r="I237" s="48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>
      <x:c r="A238" s="2"/>
      <x:c r="B238" s="2"/>
      <x:c r="C238" s="2"/>
      <x:c r="D238" s="2"/>
      <x:c r="E238" s="2"/>
      <x:c r="F238" s="2"/>
      <x:c r="G238" s="2"/>
      <x:c r="H238" s="48"/>
      <x:c r="I238" s="48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>
      <x:c r="A239" s="2"/>
      <x:c r="B239" s="2"/>
      <x:c r="C239" s="2"/>
      <x:c r="D239" s="2"/>
      <x:c r="E239" s="2"/>
      <x:c r="F239" s="2"/>
      <x:c r="G239" s="2"/>
      <x:c r="H239" s="48"/>
      <x:c r="I239" s="48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>
      <x:c r="A240" s="2"/>
      <x:c r="B240" s="2"/>
      <x:c r="C240" s="2"/>
      <x:c r="D240" s="2"/>
      <x:c r="E240" s="2"/>
      <x:c r="F240" s="2"/>
      <x:c r="G240" s="2"/>
      <x:c r="H240" s="48"/>
      <x:c r="I240" s="48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>
      <x:c r="A241" s="2"/>
      <x:c r="B241" s="2"/>
      <x:c r="C241" s="2"/>
      <x:c r="D241" s="2"/>
      <x:c r="E241" s="2"/>
      <x:c r="F241" s="2"/>
      <x:c r="G241" s="2"/>
      <x:c r="H241" s="48"/>
      <x:c r="I241" s="48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>
      <x:c r="A242" s="2"/>
      <x:c r="B242" s="2"/>
      <x:c r="C242" s="2"/>
      <x:c r="D242" s="2"/>
      <x:c r="E242" s="2"/>
      <x:c r="F242" s="2"/>
      <x:c r="G242" s="2"/>
      <x:c r="H242" s="48"/>
      <x:c r="I242" s="48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>
      <x:c r="A243" s="2"/>
      <x:c r="B243" s="2"/>
      <x:c r="C243" s="2"/>
      <x:c r="D243" s="2"/>
      <x:c r="E243" s="2"/>
      <x:c r="F243" s="2"/>
      <x:c r="G243" s="2"/>
      <x:c r="H243" s="48"/>
      <x:c r="I243" s="48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>
      <x:c r="A244" s="2"/>
      <x:c r="B244" s="2"/>
      <x:c r="C244" s="2"/>
      <x:c r="D244" s="2"/>
      <x:c r="E244" s="2"/>
      <x:c r="F244" s="2"/>
      <x:c r="G244" s="2"/>
      <x:c r="H244" s="48"/>
      <x:c r="I244" s="48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>
      <x:c r="A245" s="2"/>
      <x:c r="B245" s="2"/>
      <x:c r="C245" s="2"/>
      <x:c r="D245" s="2"/>
      <x:c r="E245" s="2"/>
      <x:c r="F245" s="2"/>
      <x:c r="G245" s="2"/>
      <x:c r="H245" s="48"/>
      <x:c r="I245" s="48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>
      <x:c r="A246" s="2"/>
      <x:c r="B246" s="2"/>
      <x:c r="C246" s="2"/>
      <x:c r="D246" s="2"/>
      <x:c r="E246" s="2"/>
      <x:c r="F246" s="2"/>
      <x:c r="G246" s="2"/>
      <x:c r="H246" s="48"/>
      <x:c r="I246" s="48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>
      <x:c r="A247" s="2"/>
      <x:c r="B247" s="2"/>
      <x:c r="C247" s="2"/>
      <x:c r="D247" s="2"/>
      <x:c r="E247" s="2"/>
      <x:c r="F247" s="2"/>
      <x:c r="G247" s="2"/>
      <x:c r="H247" s="48"/>
      <x:c r="I247" s="48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>
      <x:c r="A248" s="2"/>
      <x:c r="B248" s="2"/>
      <x:c r="C248" s="2"/>
      <x:c r="D248" s="2"/>
      <x:c r="E248" s="2"/>
      <x:c r="F248" s="2"/>
      <x:c r="G248" s="2"/>
      <x:c r="H248" s="48"/>
      <x:c r="I248" s="48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>
      <x:c r="A249" s="2"/>
      <x:c r="B249" s="2"/>
      <x:c r="C249" s="2"/>
      <x:c r="D249" s="2"/>
      <x:c r="E249" s="2"/>
      <x:c r="F249" s="2"/>
      <x:c r="G249" s="2"/>
      <x:c r="H249" s="48"/>
      <x:c r="I249" s="48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>
      <x:c r="A250" s="2"/>
      <x:c r="B250" s="2"/>
      <x:c r="C250" s="2"/>
      <x:c r="D250" s="2"/>
      <x:c r="E250" s="2"/>
      <x:c r="F250" s="2"/>
      <x:c r="G250" s="2"/>
      <x:c r="H250" s="48"/>
      <x:c r="I250" s="48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  <x:row r="251">
      <x:c r="A251" s="2"/>
      <x:c r="B251" s="2"/>
      <x:c r="C251" s="2"/>
      <x:c r="D251" s="2"/>
      <x:c r="E251" s="2"/>
      <x:c r="F251" s="2"/>
      <x:c r="G251" s="2"/>
      <x:c r="H251" s="48"/>
      <x:c r="I251" s="48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</x:row>
    <x:row r="252">
      <x:c r="A252" s="2"/>
      <x:c r="B252" s="2"/>
      <x:c r="C252" s="2"/>
      <x:c r="D252" s="2"/>
      <x:c r="E252" s="2"/>
      <x:c r="F252" s="2"/>
      <x:c r="G252" s="2"/>
      <x:c r="H252" s="48"/>
      <x:c r="I252" s="48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</x:row>
    <x:row r="253">
      <x:c r="A253" s="2"/>
      <x:c r="B253" s="2"/>
      <x:c r="C253" s="2"/>
      <x:c r="D253" s="2"/>
      <x:c r="E253" s="2"/>
      <x:c r="F253" s="2"/>
      <x:c r="G253" s="2"/>
      <x:c r="H253" s="48"/>
      <x:c r="I253" s="48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</x:row>
    <x:row r="254">
      <x:c r="A254" s="2"/>
      <x:c r="B254" s="2"/>
      <x:c r="C254" s="2"/>
      <x:c r="D254" s="2"/>
      <x:c r="E254" s="2"/>
      <x:c r="F254" s="2"/>
      <x:c r="G254" s="2"/>
      <x:c r="H254" s="48"/>
      <x:c r="I254" s="48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</x:row>
    <x:row r="255">
      <x:c r="A255" s="2"/>
      <x:c r="B255" s="2"/>
      <x:c r="C255" s="2"/>
      <x:c r="D255" s="2"/>
      <x:c r="E255" s="2"/>
      <x:c r="F255" s="2"/>
      <x:c r="G255" s="2"/>
      <x:c r="H255" s="48"/>
      <x:c r="I255" s="48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</x:row>
    <x:row r="256">
      <x:c r="A256" s="2"/>
      <x:c r="B256" s="2"/>
      <x:c r="C256" s="2"/>
      <x:c r="D256" s="2"/>
      <x:c r="E256" s="2"/>
      <x:c r="F256" s="2"/>
      <x:c r="G256" s="2"/>
      <x:c r="H256" s="48"/>
      <x:c r="I256" s="48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</x:row>
    <x:row r="257">
      <x:c r="A257" s="2"/>
      <x:c r="B257" s="2"/>
      <x:c r="C257" s="2"/>
      <x:c r="D257" s="2"/>
      <x:c r="E257" s="2"/>
      <x:c r="F257" s="2"/>
      <x:c r="G257" s="2"/>
      <x:c r="H257" s="48"/>
      <x:c r="I257" s="48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</x:row>
    <x:row r="258">
      <x:c r="A258" s="2"/>
      <x:c r="B258" s="2"/>
      <x:c r="C258" s="2"/>
      <x:c r="D258" s="2"/>
      <x:c r="E258" s="2"/>
      <x:c r="F258" s="2"/>
      <x:c r="G258" s="2"/>
      <x:c r="H258" s="48"/>
      <x:c r="I258" s="48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</x:row>
    <x:row r="259">
      <x:c r="A259" s="2"/>
      <x:c r="B259" s="2"/>
      <x:c r="C259" s="2"/>
      <x:c r="D259" s="2"/>
      <x:c r="E259" s="2"/>
      <x:c r="F259" s="2"/>
      <x:c r="G259" s="2"/>
      <x:c r="H259" s="48"/>
      <x:c r="I259" s="48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</x:row>
    <x:row r="260">
      <x:c r="A260" s="2"/>
      <x:c r="B260" s="2"/>
      <x:c r="C260" s="2"/>
      <x:c r="D260" s="2"/>
      <x:c r="E260" s="2"/>
      <x:c r="F260" s="2"/>
      <x:c r="G260" s="2"/>
      <x:c r="H260" s="48"/>
      <x:c r="I260" s="48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</x:row>
    <x:row r="261">
      <x:c r="A261" s="2"/>
      <x:c r="B261" s="2"/>
      <x:c r="C261" s="2"/>
      <x:c r="D261" s="2"/>
      <x:c r="E261" s="2"/>
      <x:c r="F261" s="2"/>
      <x:c r="G261" s="2"/>
      <x:c r="H261" s="48"/>
      <x:c r="I261" s="48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</x:row>
    <x:row r="262">
      <x:c r="A262" s="2"/>
      <x:c r="B262" s="2"/>
      <x:c r="C262" s="2"/>
      <x:c r="D262" s="2"/>
      <x:c r="E262" s="2"/>
      <x:c r="F262" s="2"/>
      <x:c r="G262" s="2"/>
      <x:c r="H262" s="48"/>
      <x:c r="I262" s="48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</x:row>
    <x:row r="263">
      <x:c r="A263" s="2"/>
      <x:c r="B263" s="2"/>
      <x:c r="C263" s="2"/>
      <x:c r="D263" s="2"/>
      <x:c r="E263" s="2"/>
      <x:c r="F263" s="2"/>
      <x:c r="G263" s="2"/>
      <x:c r="H263" s="48"/>
      <x:c r="I263" s="48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</x:row>
    <x:row r="264">
      <x:c r="A264" s="2"/>
      <x:c r="B264" s="2"/>
      <x:c r="C264" s="2"/>
      <x:c r="D264" s="2"/>
      <x:c r="E264" s="2"/>
      <x:c r="F264" s="2"/>
      <x:c r="G264" s="2"/>
      <x:c r="H264" s="48"/>
      <x:c r="I264" s="48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</x:row>
    <x:row r="265">
      <x:c r="A265" s="2"/>
      <x:c r="B265" s="2"/>
      <x:c r="C265" s="2"/>
      <x:c r="D265" s="2"/>
      <x:c r="E265" s="2"/>
      <x:c r="F265" s="2"/>
      <x:c r="G265" s="2"/>
      <x:c r="H265" s="48"/>
      <x:c r="I265" s="48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</x:row>
    <x:row r="266">
      <x:c r="A266" s="2"/>
      <x:c r="B266" s="2"/>
      <x:c r="C266" s="2"/>
      <x:c r="D266" s="2"/>
      <x:c r="E266" s="2"/>
      <x:c r="F266" s="2"/>
      <x:c r="G266" s="2"/>
      <x:c r="H266" s="48"/>
      <x:c r="I266" s="48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</x:row>
    <x:row r="267">
      <x:c r="A267" s="2"/>
      <x:c r="B267" s="2"/>
      <x:c r="C267" s="2"/>
      <x:c r="D267" s="2"/>
      <x:c r="E267" s="2"/>
      <x:c r="F267" s="2"/>
      <x:c r="G267" s="2"/>
      <x:c r="H267" s="48"/>
      <x:c r="I267" s="48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</x:row>
    <x:row r="268">
      <x:c r="A268" s="2"/>
      <x:c r="B268" s="2"/>
      <x:c r="C268" s="2"/>
      <x:c r="D268" s="2"/>
      <x:c r="E268" s="2"/>
      <x:c r="F268" s="2"/>
      <x:c r="G268" s="2"/>
      <x:c r="H268" s="48"/>
      <x:c r="I268" s="48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</x:row>
    <x:row r="269">
      <x:c r="A269" s="2"/>
      <x:c r="B269" s="2"/>
      <x:c r="C269" s="2"/>
      <x:c r="D269" s="2"/>
      <x:c r="E269" s="2"/>
      <x:c r="F269" s="2"/>
      <x:c r="G269" s="2"/>
      <x:c r="H269" s="48"/>
      <x:c r="I269" s="48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</x:row>
    <x:row r="270">
      <x:c r="A270" s="2"/>
      <x:c r="B270" s="2"/>
      <x:c r="C270" s="2"/>
      <x:c r="D270" s="2"/>
      <x:c r="E270" s="2"/>
      <x:c r="F270" s="2"/>
      <x:c r="G270" s="2"/>
      <x:c r="H270" s="48"/>
      <x:c r="I270" s="48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</x:row>
    <x:row r="271">
      <x:c r="A271" s="2"/>
      <x:c r="B271" s="2"/>
      <x:c r="C271" s="2"/>
      <x:c r="D271" s="2"/>
      <x:c r="E271" s="2"/>
      <x:c r="F271" s="2"/>
      <x:c r="G271" s="2"/>
      <x:c r="H271" s="48"/>
      <x:c r="I271" s="48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</x:row>
    <x:row r="272">
      <x:c r="A272" s="2"/>
      <x:c r="B272" s="2"/>
      <x:c r="C272" s="2"/>
      <x:c r="D272" s="2"/>
      <x:c r="E272" s="2"/>
      <x:c r="F272" s="2"/>
      <x:c r="G272" s="2"/>
      <x:c r="H272" s="48"/>
      <x:c r="I272" s="48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</x:row>
    <x:row r="273">
      <x:c r="A273" s="2"/>
      <x:c r="B273" s="2"/>
      <x:c r="C273" s="2"/>
      <x:c r="D273" s="2"/>
      <x:c r="E273" s="2"/>
      <x:c r="F273" s="2"/>
      <x:c r="G273" s="2"/>
      <x:c r="H273" s="48"/>
      <x:c r="I273" s="48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</x:row>
    <x:row r="274">
      <x:c r="A274" s="2"/>
      <x:c r="B274" s="2"/>
      <x:c r="C274" s="2"/>
      <x:c r="D274" s="2"/>
      <x:c r="E274" s="2"/>
      <x:c r="F274" s="2"/>
      <x:c r="G274" s="2"/>
      <x:c r="H274" s="48"/>
      <x:c r="I274" s="48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</x:row>
    <x:row r="275">
      <x:c r="A275" s="2"/>
      <x:c r="B275" s="2"/>
      <x:c r="C275" s="2"/>
      <x:c r="D275" s="2"/>
      <x:c r="E275" s="2"/>
      <x:c r="F275" s="2"/>
      <x:c r="G275" s="2"/>
      <x:c r="H275" s="48"/>
      <x:c r="I275" s="48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</x:row>
    <x:row r="276">
      <x:c r="A276" s="2"/>
      <x:c r="B276" s="2"/>
      <x:c r="C276" s="2"/>
      <x:c r="D276" s="2"/>
      <x:c r="E276" s="2"/>
      <x:c r="F276" s="2"/>
      <x:c r="G276" s="2"/>
      <x:c r="H276" s="48"/>
      <x:c r="I276" s="48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</x:row>
    <x:row r="277">
      <x:c r="A277" s="2"/>
      <x:c r="B277" s="2"/>
      <x:c r="C277" s="2"/>
      <x:c r="D277" s="2"/>
      <x:c r="E277" s="2"/>
      <x:c r="F277" s="2"/>
      <x:c r="G277" s="2"/>
      <x:c r="H277" s="48"/>
      <x:c r="I277" s="48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</x:row>
    <x:row r="278">
      <x:c r="A278" s="2"/>
      <x:c r="B278" s="2"/>
      <x:c r="C278" s="2"/>
      <x:c r="D278" s="2"/>
      <x:c r="E278" s="2"/>
      <x:c r="F278" s="2"/>
      <x:c r="G278" s="2"/>
      <x:c r="H278" s="48"/>
      <x:c r="I278" s="48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</x:row>
    <x:row r="279">
      <x:c r="A279" s="2"/>
      <x:c r="B279" s="2"/>
      <x:c r="C279" s="2"/>
      <x:c r="D279" s="2"/>
      <x:c r="E279" s="2"/>
      <x:c r="F279" s="2"/>
      <x:c r="G279" s="2"/>
      <x:c r="H279" s="48"/>
      <x:c r="I279" s="48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</x:row>
    <x:row r="280">
      <x:c r="A280" s="2"/>
      <x:c r="B280" s="2"/>
      <x:c r="C280" s="2"/>
      <x:c r="D280" s="2"/>
      <x:c r="E280" s="2"/>
      <x:c r="F280" s="2"/>
      <x:c r="G280" s="2"/>
      <x:c r="H280" s="48"/>
      <x:c r="I280" s="48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</x:row>
    <x:row r="281">
      <x:c r="A281" s="2"/>
      <x:c r="B281" s="2"/>
      <x:c r="C281" s="2"/>
      <x:c r="D281" s="2"/>
      <x:c r="E281" s="2"/>
      <x:c r="F281" s="2"/>
      <x:c r="G281" s="2"/>
      <x:c r="H281" s="48"/>
      <x:c r="I281" s="48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</x:row>
    <x:row r="282">
      <x:c r="A282" s="2"/>
      <x:c r="B282" s="2"/>
      <x:c r="C282" s="2"/>
      <x:c r="D282" s="2"/>
      <x:c r="E282" s="2"/>
      <x:c r="F282" s="2"/>
      <x:c r="G282" s="2"/>
      <x:c r="H282" s="48"/>
      <x:c r="I282" s="48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</x:row>
    <x:row r="283">
      <x:c r="A283" s="2"/>
      <x:c r="B283" s="2"/>
      <x:c r="C283" s="2"/>
      <x:c r="D283" s="2"/>
      <x:c r="E283" s="2"/>
      <x:c r="F283" s="2"/>
      <x:c r="G283" s="2"/>
      <x:c r="H283" s="48"/>
      <x:c r="I283" s="48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</x:row>
    <x:row r="284">
      <x:c r="A284" s="2"/>
      <x:c r="B284" s="2"/>
      <x:c r="C284" s="2"/>
      <x:c r="D284" s="2"/>
      <x:c r="E284" s="2"/>
      <x:c r="F284" s="2"/>
      <x:c r="G284" s="2"/>
      <x:c r="H284" s="48"/>
      <x:c r="I284" s="48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</x:row>
    <x:row r="285">
      <x:c r="A285" s="2"/>
      <x:c r="B285" s="2"/>
      <x:c r="C285" s="2"/>
      <x:c r="D285" s="2"/>
      <x:c r="E285" s="2"/>
      <x:c r="F285" s="2"/>
      <x:c r="G285" s="2"/>
      <x:c r="H285" s="48"/>
      <x:c r="I285" s="48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</x:row>
    <x:row r="286">
      <x:c r="A286" s="2"/>
      <x:c r="B286" s="2"/>
      <x:c r="C286" s="2"/>
      <x:c r="D286" s="2"/>
      <x:c r="E286" s="2"/>
      <x:c r="F286" s="2"/>
      <x:c r="G286" s="2"/>
      <x:c r="H286" s="48"/>
      <x:c r="I286" s="48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</x:row>
    <x:row r="287">
      <x:c r="A287" s="2"/>
      <x:c r="B287" s="2"/>
      <x:c r="C287" s="2"/>
      <x:c r="D287" s="2"/>
      <x:c r="E287" s="2"/>
      <x:c r="F287" s="2"/>
      <x:c r="G287" s="2"/>
      <x:c r="H287" s="48"/>
      <x:c r="I287" s="48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</x:row>
    <x:row r="288">
      <x:c r="A288" s="2"/>
      <x:c r="B288" s="2"/>
      <x:c r="C288" s="2"/>
      <x:c r="D288" s="2"/>
      <x:c r="E288" s="2"/>
      <x:c r="F288" s="2"/>
      <x:c r="G288" s="2"/>
      <x:c r="H288" s="48"/>
      <x:c r="I288" s="48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</x:row>
    <x:row r="289">
      <x:c r="A289" s="2"/>
      <x:c r="B289" s="2"/>
      <x:c r="C289" s="2"/>
      <x:c r="D289" s="2"/>
      <x:c r="E289" s="2"/>
      <x:c r="F289" s="2"/>
      <x:c r="G289" s="2"/>
      <x:c r="H289" s="48"/>
      <x:c r="I289" s="48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</x:row>
    <x:row r="290">
      <x:c r="A290" s="2"/>
      <x:c r="B290" s="2"/>
      <x:c r="C290" s="2"/>
      <x:c r="D290" s="2"/>
      <x:c r="E290" s="2"/>
      <x:c r="F290" s="2"/>
      <x:c r="G290" s="2"/>
      <x:c r="H290" s="48"/>
      <x:c r="I290" s="48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</x:row>
    <x:row r="291">
      <x:c r="A291" s="2"/>
      <x:c r="B291" s="2"/>
      <x:c r="C291" s="2"/>
      <x:c r="D291" s="2"/>
      <x:c r="E291" s="2"/>
      <x:c r="F291" s="2"/>
      <x:c r="G291" s="2"/>
      <x:c r="H291" s="48"/>
      <x:c r="I291" s="48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</x:row>
    <x:row r="292">
      <x:c r="A292" s="2"/>
      <x:c r="B292" s="2"/>
      <x:c r="C292" s="2"/>
      <x:c r="D292" s="2"/>
      <x:c r="E292" s="2"/>
      <x:c r="F292" s="2"/>
      <x:c r="G292" s="2"/>
      <x:c r="H292" s="48"/>
      <x:c r="I292" s="48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</x:row>
    <x:row r="293">
      <x:c r="A293" s="2"/>
      <x:c r="B293" s="2"/>
      <x:c r="C293" s="2"/>
      <x:c r="D293" s="2"/>
      <x:c r="E293" s="2"/>
      <x:c r="F293" s="2"/>
      <x:c r="G293" s="2"/>
      <x:c r="H293" s="48"/>
      <x:c r="I293" s="48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</x:row>
    <x:row r="294">
      <x:c r="A294" s="2"/>
      <x:c r="B294" s="2"/>
      <x:c r="C294" s="2"/>
      <x:c r="D294" s="2"/>
      <x:c r="E294" s="2"/>
      <x:c r="F294" s="2"/>
      <x:c r="G294" s="2"/>
      <x:c r="H294" s="48"/>
      <x:c r="I294" s="48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</x:row>
    <x:row r="295">
      <x:c r="A295" s="2"/>
      <x:c r="B295" s="2"/>
      <x:c r="C295" s="2"/>
      <x:c r="D295" s="2"/>
      <x:c r="E295" s="2"/>
      <x:c r="F295" s="2"/>
      <x:c r="G295" s="2"/>
      <x:c r="H295" s="48"/>
      <x:c r="I295" s="48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</x:row>
    <x:row r="296">
      <x:c r="A296" s="2"/>
      <x:c r="B296" s="2"/>
      <x:c r="C296" s="2"/>
      <x:c r="D296" s="2"/>
      <x:c r="E296" s="2"/>
      <x:c r="F296" s="2"/>
      <x:c r="G296" s="2"/>
      <x:c r="H296" s="48"/>
      <x:c r="I296" s="48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</x:row>
    <x:row r="297">
      <x:c r="A297" s="2"/>
      <x:c r="B297" s="2"/>
      <x:c r="C297" s="2"/>
      <x:c r="D297" s="2"/>
      <x:c r="E297" s="2"/>
      <x:c r="F297" s="2"/>
      <x:c r="G297" s="2"/>
      <x:c r="H297" s="48"/>
      <x:c r="I297" s="48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</x:row>
    <x:row r="298">
      <x:c r="A298" s="2"/>
      <x:c r="B298" s="2"/>
      <x:c r="C298" s="2"/>
      <x:c r="D298" s="2"/>
      <x:c r="E298" s="2"/>
      <x:c r="F298" s="2"/>
      <x:c r="G298" s="2"/>
      <x:c r="H298" s="48"/>
      <x:c r="I298" s="48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</x:row>
    <x:row r="299">
      <x:c r="A299" s="2"/>
      <x:c r="B299" s="2"/>
      <x:c r="C299" s="2"/>
      <x:c r="D299" s="2"/>
      <x:c r="E299" s="2"/>
      <x:c r="F299" s="2"/>
      <x:c r="G299" s="2"/>
      <x:c r="H299" s="48"/>
      <x:c r="I299" s="48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</x:row>
    <x:row r="300">
      <x:c r="A300" s="2"/>
      <x:c r="B300" s="2"/>
      <x:c r="C300" s="2"/>
      <x:c r="D300" s="2"/>
      <x:c r="E300" s="2"/>
      <x:c r="F300" s="2"/>
      <x:c r="G300" s="2"/>
      <x:c r="H300" s="48"/>
      <x:c r="I300" s="48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</x:row>
  </x:sheetData>
  <x:pageMargins left="0.7" right="0.7" top="0.75" bottom="0.75" header="0.3" footer="0.3"/>
  <x:tableParts count="1">
    <x:tablePart xmlns:r="http://schemas.openxmlformats.org/officeDocument/2006/relationships" r:id="Reaff272490ed4609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44" hidden="0" customWidth="1"/>
    <x:col min="4" max="4" width="20" hidden="0" customWidth="1"/>
    <x:col min="5" max="5" width="20" hidden="0" customWidth="1"/>
    <x:col min="6" max="6" width="30" hidden="0" customWidth="1"/>
    <x:col min="7" max="7" width="30" hidden="0" customWidth="1"/>
    <x:col min="8" max="8" width="30" hidden="0" customWidth="1"/>
    <x:col min="9" max="9" width="30" hidden="0" customWidth="1"/>
    <x:col min="10" max="10" width="44" hidden="0" customWidth="1"/>
    <x:col min="11" max="11" width="32" hidden="0" customWidth="1"/>
    <x:col min="12" max="12" width="32" hidden="0" customWidth="1"/>
  </x:cols>
  <x:sheetData>
    <x:row r="1" ht="34" customHeight="1">
      <x:c r="A1" s="8" t="str">
        <x:v>Dataset_ID</x:v>
      </x:c>
      <x:c r="B1" s="8" t="str">
        <x:v>Release_Year</x:v>
      </x:c>
      <x:c r="C1" s="8" t="str">
        <x:v>Dataset</x:v>
      </x:c>
      <x:c r="D1" s="8" t="str">
        <x:v>Access</x:v>
      </x:c>
      <x:c r="E1" s="8" t="str">
        <x:v>Participants_or_Records</x:v>
      </x:c>
      <x:c r="F1" s="8" t="str">
        <x:v>Signals</x:v>
      </x:c>
      <x:c r="G1" s="8" t="str">
        <x:v>Device</x:v>
      </x:c>
      <x:c r="H1" s="8" t="str">
        <x:v>Setting</x:v>
      </x:c>
      <x:c r="I1" s="8" t="str">
        <x:v>Useful_For</x:v>
      </x:c>
      <x:c r="J1" s="8" t="str">
        <x:v>Important_Limitation</x:v>
      </x:c>
      <x:c r="K1" s="8" t="str">
        <x:v>DOI</x:v>
      </x:c>
      <x:c r="L1" s="8" t="str">
        <x:v>Source_URL</x:v>
      </x:c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2" t="str">
        <x:v>D001</x:v>
      </x:c>
      <x:c r="B2" s="2" t="n">
        <x:v>2025</x:v>
      </x:c>
      <x:c r="C2" s="2" t="str">
        <x:v>Wearable Device Dataset from Induced Stress and Structured Exercise Sessions</x:v>
      </x:c>
      <x:c r="D2" s="2" t="str">
        <x:v>Open</x:v>
      </x:c>
      <x:c r="E2" s="2" t="str">
        <x:v>36 stress; 30 aerobic; 31 anaerobic volunteers</x:v>
      </x:c>
      <x:c r="F2" s="2" t="str">
        <x:v>EDA, BVP/PPG, HR, IBI, skin temperature, 3-axis ACC</x:v>
      </x:c>
      <x:c r="G2" s="2" t="str">
        <x:v>Empatica E4</x:v>
      </x:c>
      <x:c r="H2" s="2" t="str">
        <x:v>Structured stress + aerobic/anaerobic exercise</x:v>
      </x:c>
      <x:c r="I2" s="2" t="str">
        <x:v>Stress/exercise classification, signal QC, multimodal feature engineering</x:v>
      </x:c>
      <x:c r="J2" s="2" t="str">
        <x:v>Measurements were collected in 2024 despite 2025 dataset release; protocol/data-quality issues documented.</x:v>
      </x:c>
      <x:c r="K2" s="2" t="str">
        <x:v>10.13026/he0v-tf17</x:v>
      </x:c>
      <x:c r="L2" s="2" t="str">
        <x:v>https://physionet.org/content/wearable-device-dataset/1.0.1/</x:v>
      </x:c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2" t="str">
        <x:v>D002</x:v>
      </x:c>
      <x:c r="B3" s="2" t="n">
        <x:v>2026</x:v>
      </x:c>
      <x:c r="C3" s="2" t="str">
        <x:v>Neurophysiological Dataset of Stress Resilience During Human-Computer Interaction</x:v>
      </x:c>
      <x:c r="D3" s="2" t="str">
        <x:v>Open</x:v>
      </x:c>
      <x:c r="E3" s="2" t="str">
        <x:v>Not stated in search summary</x:v>
      </x:c>
      <x:c r="F3" s="2" t="str">
        <x:v>Multimodal neurophysiological + physiological signals</x:v>
      </x:c>
      <x:c r="G3" s="2" t="str">
        <x:v>Research sensing platform</x:v>
      </x:c>
      <x:c r="H3" s="2" t="str">
        <x:v>Cognitively demanding HCI tasks</x:v>
      </x:c>
      <x:c r="I3" s="2" t="str">
        <x:v>Stress resilience modeling, multimodal fusion</x:v>
      </x:c>
      <x:c r="J3" s="2" t="str">
        <x:v>Participant count/details should be read from full dataset documentation before modeling.</x:v>
      </x:c>
      <x:c r="K3" s="2" t="str">
        <x:v>10.13026/x3vc-p627</x:v>
      </x:c>
      <x:c r="L3" s="2" t="str">
        <x:v>https://physionet.org/content/neuro-stress-resilience-hci/1.0.0/</x:v>
      </x:c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2" t="str">
        <x:v>D003</x:v>
      </x:c>
      <x:c r="B4" s="2" t="n">
        <x:v>2026</x:v>
      </x:c>
      <x:c r="C4" s="2" t="str">
        <x:v>Continuous observation of Parkinsonian symptoms using symptom diaries &amp; wearable accelerometry</x:v>
      </x:c>
      <x:c r="D4" s="2" t="str">
        <x:v>Open-science</x:v>
      </x:c>
      <x:c r="E4" s="2" t="str">
        <x:v>66 participants; 393.8 person-days</x:v>
      </x:c>
      <x:c r="F4" s="2" t="str">
        <x:v>Bilateral wrist accelerometry + symptom diaries</x:v>
      </x:c>
      <x:c r="G4" s="2" t="str">
        <x:v>Wrist-worn accelerometers</x:v>
      </x:c>
      <x:c r="H4" s="2" t="str">
        <x:v>Free-living / multi-day</x:v>
      </x:c>
      <x:c r="I4" s="2" t="str">
        <x:v>Motor fluctuation modeling, medication response, tremor/freezing/falls</x:v>
      </x:c>
      <x:c r="J4" s="2" t="str">
        <x:v>Diary labels are subjective and adherence dependent; cohort size is moderate.</x:v>
      </x:c>
      <x:c r="K4" s="2" t="str"/>
      <x:c r="L4" s="2" t="str">
        <x:v>https://pubmed.ncbi.nlm.nih.gov/41957027/</x:v>
      </x:c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  <x:row r="25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</x:row>
    <x:row r="252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</x:row>
    <x:row r="253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</x:row>
    <x:row r="254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</x:row>
    <x:row r="255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</x:row>
    <x:row r="256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</x:row>
    <x:row r="257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</x:row>
    <x:row r="258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</x:row>
    <x:row r="259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</x:row>
    <x:row r="260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</x:row>
    <x:row r="26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</x:row>
    <x:row r="262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</x:row>
    <x:row r="263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</x:row>
    <x:row r="264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</x:row>
    <x:row r="265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</x:row>
    <x:row r="266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</x:row>
    <x:row r="267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</x:row>
    <x:row r="268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</x:row>
    <x:row r="269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</x:row>
    <x:row r="270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</x:row>
    <x:row r="27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</x:row>
    <x:row r="272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</x:row>
    <x:row r="273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</x:row>
    <x:row r="274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</x:row>
    <x:row r="275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</x:row>
    <x:row r="276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</x:row>
    <x:row r="277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</x:row>
    <x:row r="278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</x:row>
    <x:row r="279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</x:row>
    <x:row r="280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</x:row>
    <x:row r="28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</x:row>
    <x:row r="282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</x:row>
    <x:row r="283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</x:row>
    <x:row r="284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</x:row>
    <x:row r="285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</x:row>
    <x:row r="286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</x:row>
    <x:row r="287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</x:row>
    <x:row r="288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</x:row>
    <x:row r="289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</x:row>
    <x:row r="290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</x:row>
    <x:row r="29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</x:row>
    <x:row r="292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</x:row>
    <x:row r="293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</x:row>
    <x:row r="294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</x:row>
    <x:row r="295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</x:row>
    <x:row r="296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</x:row>
    <x:row r="297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</x:row>
    <x:row r="298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</x:row>
    <x:row r="299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</x:row>
    <x:row r="300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</x:row>
  </x:sheetData>
  <x:pageMargins left="0.7" right="0.7" top="0.75" bottom="0.75" header="0.3" footer="0.3"/>
  <x:tableParts count="1">
    <x:tablePart xmlns:r="http://schemas.openxmlformats.org/officeDocument/2006/relationships" r:id="Rf9b7707c971e46df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6" hidden="0" customWidth="1"/>
    <x:col min="4" max="4" width="42" hidden="0" customWidth="1"/>
    <x:col min="5" max="5" width="42" hidden="0" customWidth="1"/>
    <x:col min="6" max="6" width="18" hidden="0" customWidth="1"/>
    <x:col min="7" max="7" width="18" hidden="0" customWidth="1"/>
    <x:col min="8" max="8" width="36" hidden="0" customWidth="1"/>
    <x:col min="9" max="9" width="36" hidden="0" customWidth="1"/>
  </x:cols>
  <x:sheetData>
    <x:row r="1" ht="34" customHeight="1">
      <x:c r="A1" s="8" t="str">
        <x:v>Decision_Date</x:v>
      </x:c>
      <x:c r="B1" s="8" t="str">
        <x:v>Year</x:v>
      </x:c>
      <x:c r="C1" s="8" t="str">
        <x:v>Submission_Number</x:v>
      </x:c>
      <x:c r="D1" s="8" t="str">
        <x:v>Device</x:v>
      </x:c>
      <x:c r="E1" s="8" t="str">
        <x:v>Company</x:v>
      </x:c>
      <x:c r="F1" s="8" t="str">
        <x:v>Panel</x:v>
      </x:c>
      <x:c r="G1" s="8" t="str">
        <x:v>Primary_Product_Code</x:v>
      </x:c>
      <x:c r="H1" s="8" t="str">
        <x:v>Source_URL</x:v>
      </x:c>
      <x:c r="I1" s="8" t="str">
        <x:v>Source_Type</x:v>
      </x:c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48" t="n">
        <x:v>46195</x:v>
      </x:c>
      <x:c r="B2" s="2" t="n">
        <x:v>2026</x:v>
      </x:c>
      <x:c r="C2" s="2" t="str">
        <x:v>K253148</x:v>
      </x:c>
      <x:c r="D2" s="2" t="str">
        <x:v>RX-1 Sleep</x:v>
      </x:c>
      <x:c r="E2" s="2" t="str">
        <x:v>Vivaquant, Inc. Dba Rhythm Express</x:v>
      </x:c>
      <x:c r="F2" s="2" t="str">
        <x:v>Anesthesiology</x:v>
      </x:c>
      <x:c r="G2" s="2" t="str">
        <x:v>MNR</x:v>
      </x:c>
      <x:c r="H2" s="2" t="str">
        <x:v>https://www.fda.gov/medical-devices/digital-health-center-excellence/medical-devices-incorporate-sensor-based-digital-health-technology</x:v>
      </x:c>
      <x:c r="I2" s="2" t="str">
        <x:v>FDA sensor-based digital health technology list</x:v>
      </x:c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48" t="n">
        <x:v>46190</x:v>
      </x:c>
      <x:c r="B3" s="2" t="n">
        <x:v>2026</x:v>
      </x:c>
      <x:c r="C3" s="2" t="str">
        <x:v>K253055</x:v>
      </x:c>
      <x:c r="D3" s="2" t="str">
        <x:v>Sine Monitoring Parkinson's Disease Tremor Dyskinesia Apple Watch (SMPDTDAW)</x:v>
      </x:c>
      <x:c r="E3" s="2" t="str">
        <x:v>Nordic Kinetics AB</x:v>
      </x:c>
      <x:c r="F3" s="2" t="str">
        <x:v>Neurology</x:v>
      </x:c>
      <x:c r="G3" s="2" t="str">
        <x:v>GYD</x:v>
      </x:c>
      <x:c r="H3" s="2" t="str">
        <x:v>https://www.fda.gov/medical-devices/digital-health-center-excellence/medical-devices-incorporate-sensor-based-digital-health-technology</x:v>
      </x:c>
      <x:c r="I3" s="2" t="str">
        <x:v>FDA sensor-based digital health technology list</x:v>
      </x:c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48" t="n">
        <x:v>46185</x:v>
      </x:c>
      <x:c r="B4" s="2" t="n">
        <x:v>2026</x:v>
      </x:c>
      <x:c r="C4" s="2" t="str">
        <x:v>K260935</x:v>
      </x:c>
      <x:c r="D4" s="2" t="str">
        <x:v>Stelo Glucose Biosensor System</x:v>
      </x:c>
      <x:c r="E4" s="2" t="str">
        <x:v>Dexcom, Inc.</x:v>
      </x:c>
      <x:c r="F4" s="2" t="str">
        <x:v>Clinical Chemistry</x:v>
      </x:c>
      <x:c r="G4" s="2" t="str">
        <x:v>SBH</x:v>
      </x:c>
      <x:c r="H4" s="2" t="str">
        <x:v>https://www.fda.gov/medical-devices/digital-health-center-excellence/medical-devices-incorporate-sensor-based-digital-health-technology</x:v>
      </x:c>
      <x:c r="I4" s="2" t="str">
        <x:v>FDA sensor-based digital health technology list</x:v>
      </x:c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>
      <x:c r="A5" s="48" t="n">
        <x:v>46184</x:v>
      </x:c>
      <x:c r="B5" s="2" t="n">
        <x:v>2026</x:v>
      </x:c>
      <x:c r="C5" s="2" t="str">
        <x:v>K253607</x:v>
      </x:c>
      <x:c r="D5" s="2" t="str">
        <x:v>UNEEG EpiSight System</x:v>
      </x:c>
      <x:c r="E5" s="2" t="str">
        <x:v>Uneeg Medical A/S</x:v>
      </x:c>
      <x:c r="F5" s="2" t="str">
        <x:v>Neurology</x:v>
      </x:c>
      <x:c r="G5" s="2" t="str">
        <x:v>SEM</x:v>
      </x:c>
      <x:c r="H5" s="2" t="str">
        <x:v>https://www.fda.gov/medical-devices/digital-health-center-excellence/medical-devices-incorporate-sensor-based-digital-health-technology</x:v>
      </x:c>
      <x:c r="I5" s="2" t="str">
        <x:v>FDA sensor-based digital health technology list</x:v>
      </x:c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>
      <x:c r="A6" s="48" t="n">
        <x:v>46181</x:v>
      </x:c>
      <x:c r="B6" s="2" t="n">
        <x:v>2026</x:v>
      </x:c>
      <x:c r="C6" s="2" t="str">
        <x:v>K261402</x:v>
      </x:c>
      <x:c r="D6" s="2" t="str">
        <x:v>Dexcom G7 Continuous Glucose Monitoring System; Dexcom G7 15 Day Continuous Glucose Monitoring System</x:v>
      </x:c>
      <x:c r="E6" s="2" t="str">
        <x:v>Dexcom, Inc.</x:v>
      </x:c>
      <x:c r="F6" s="2" t="str">
        <x:v>Clinical Chemistry</x:v>
      </x:c>
      <x:c r="G6" s="2" t="str">
        <x:v>QBJ</x:v>
      </x:c>
      <x:c r="H6" s="2" t="str">
        <x:v>https://www.fda.gov/medical-devices/digital-health-center-excellence/medical-devices-incorporate-sensor-based-digital-health-technology</x:v>
      </x:c>
      <x:c r="I6" s="2" t="str">
        <x:v>FDA sensor-based digital health technology list</x:v>
      </x:c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>
      <x:c r="A7" s="48" t="n">
        <x:v>46163</x:v>
      </x:c>
      <x:c r="B7" s="2" t="n">
        <x:v>2026</x:v>
      </x:c>
      <x:c r="C7" s="2" t="str">
        <x:v>K261359</x:v>
      </x:c>
      <x:c r="D7" s="2" t="str">
        <x:v>Stelo Glucose Biosensor System</x:v>
      </x:c>
      <x:c r="E7" s="2" t="str">
        <x:v>Dexcom, Inc.</x:v>
      </x:c>
      <x:c r="F7" s="2" t="str">
        <x:v>Clinical Chemistry</x:v>
      </x:c>
      <x:c r="G7" s="2" t="str">
        <x:v>SAF</x:v>
      </x:c>
      <x:c r="H7" s="2" t="str">
        <x:v>https://www.fda.gov/medical-devices/digital-health-center-excellence/medical-devices-incorporate-sensor-based-digital-health-technology</x:v>
      </x:c>
      <x:c r="I7" s="2" t="str">
        <x:v>FDA sensor-based digital health technology list</x:v>
      </x:c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>
      <x:c r="A8" s="48" t="n">
        <x:v>46148</x:v>
      </x:c>
      <x:c r="B8" s="2" t="n">
        <x:v>2026</x:v>
      </x:c>
      <x:c r="C8" s="2" t="str">
        <x:v>K253152</x:v>
      </x:c>
      <x:c r="D8" s="2" t="str">
        <x:v>BP1000 Ultra-Compact Fingertip Blood Pressure Monitor (BP1000)</x:v>
      </x:c>
      <x:c r="E8" s="2" t="str">
        <x:v>Biozen, LLC</x:v>
      </x:c>
      <x:c r="F8" s="2" t="str">
        <x:v>Cardiovascular</x:v>
      </x:c>
      <x:c r="G8" s="2" t="str">
        <x:v>DXN</x:v>
      </x:c>
      <x:c r="H8" s="2" t="str">
        <x:v>https://www.fda.gov/medical-devices/digital-health-center-excellence/medical-devices-incorporate-sensor-based-digital-health-technology</x:v>
      </x:c>
      <x:c r="I8" s="2" t="str">
        <x:v>FDA sensor-based digital health technology list</x:v>
      </x:c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>
      <x:c r="A9" s="48" t="n">
        <x:v>46142</x:v>
      </x:c>
      <x:c r="B9" s="2" t="n">
        <x:v>2026</x:v>
      </x:c>
      <x:c r="C9" s="2" t="str">
        <x:v>K253436</x:v>
      </x:c>
      <x:c r="D9" s="2" t="str">
        <x:v>c-med0 alpha</x:v>
      </x:c>
      <x:c r="E9" s="2" t="str">
        <x:v>Cosinuss GmbH</x:v>
      </x:c>
      <x:c r="F9" s="2" t="str">
        <x:v>Cardiovascular</x:v>
      </x:c>
      <x:c r="G9" s="2" t="str">
        <x:v>MWI</x:v>
      </x:c>
      <x:c r="H9" s="2" t="str">
        <x:v>https://www.fda.gov/medical-devices/digital-health-center-excellence/medical-devices-incorporate-sensor-based-digital-health-technology</x:v>
      </x:c>
      <x:c r="I9" s="2" t="str">
        <x:v>FDA sensor-based digital health technology list</x:v>
      </x:c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>
      <x:c r="A10" s="48" t="n">
        <x:v>46133</x:v>
      </x:c>
      <x:c r="B10" s="2" t="n">
        <x:v>2026</x:v>
      </x:c>
      <x:c r="C10" s="2" t="str">
        <x:v>K250793</x:v>
      </x:c>
      <x:c r="D10" s="2" t="str">
        <x:v>RhythmStar System (SL)</x:v>
      </x:c>
      <x:c r="E10" s="2" t="str">
        <x:v>RhythMedix, LLC</x:v>
      </x:c>
      <x:c r="F10" s="2" t="str">
        <x:v>Cardiovascular</x:v>
      </x:c>
      <x:c r="G10" s="2" t="str">
        <x:v>QYX</x:v>
      </x:c>
      <x:c r="H10" s="2" t="str">
        <x:v>https://www.fda.gov/medical-devices/digital-health-center-excellence/medical-devices-incorporate-sensor-based-digital-health-technology</x:v>
      </x:c>
      <x:c r="I10" s="2" t="str">
        <x:v>FDA sensor-based digital health technology list</x:v>
      </x:c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>
      <x:c r="A11" s="48" t="n">
        <x:v>46118</x:v>
      </x:c>
      <x:c r="B11" s="2" t="n">
        <x:v>2026</x:v>
      </x:c>
      <x:c r="C11" s="2" t="str">
        <x:v>K252765</x:v>
      </x:c>
      <x:c r="D11" s="2" t="str">
        <x:v>ProSomnus RPMO2 OSA Device (RPMO2 OSA)</x:v>
      </x:c>
      <x:c r="E11" s="2" t="str">
        <x:v>Prosomnus Sleep Technologies</x:v>
      </x:c>
      <x:c r="F11" s="2" t="str">
        <x:v>Dental</x:v>
      </x:c>
      <x:c r="G11" s="2" t="str">
        <x:v>PLC</x:v>
      </x:c>
      <x:c r="H11" s="2" t="str">
        <x:v>https://www.fda.gov/medical-devices/digital-health-center-excellence/medical-devices-incorporate-sensor-based-digital-health-technology</x:v>
      </x:c>
      <x:c r="I11" s="2" t="str">
        <x:v>FDA sensor-based digital health technology list</x:v>
      </x:c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>
      <x:c r="A12" s="48" t="n">
        <x:v>46094</x:v>
      </x:c>
      <x:c r="B12" s="2" t="n">
        <x:v>2026</x:v>
      </x:c>
      <x:c r="C12" s="2" t="str">
        <x:v>K260455</x:v>
      </x:c>
      <x:c r="D12" s="2" t="str">
        <x:v>New Wave System</x:v>
      </x:c>
      <x:c r="E12" s="2" t="str">
        <x:v>Zeto, Inc.</x:v>
      </x:c>
      <x:c r="F12" s="2" t="str">
        <x:v>Neurology</x:v>
      </x:c>
      <x:c r="G12" s="2" t="str">
        <x:v>GWQ</x:v>
      </x:c>
      <x:c r="H12" s="2" t="str">
        <x:v>https://www.fda.gov/medical-devices/digital-health-center-excellence/medical-devices-incorporate-sensor-based-digital-health-technology</x:v>
      </x:c>
      <x:c r="I12" s="2" t="str">
        <x:v>FDA sensor-based digital health technology list</x:v>
      </x:c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>
      <x:c r="A13" s="48" t="n">
        <x:v>46089</x:v>
      </x:c>
      <x:c r="B13" s="2" t="n">
        <x:v>2026</x:v>
      </x:c>
      <x:c r="C13" s="2" t="str">
        <x:v>K253668</x:v>
      </x:c>
      <x:c r="D13" s="2" t="str">
        <x:v>Onera SleepMap (SLEEPMAP)</x:v>
      </x:c>
      <x:c r="E13" s="2" t="str">
        <x:v>Onera B.V.</x:v>
      </x:c>
      <x:c r="F13" s="2" t="str">
        <x:v>Neurology</x:v>
      </x:c>
      <x:c r="G13" s="2" t="str">
        <x:v>OLZ</x:v>
      </x:c>
      <x:c r="H13" s="2" t="str">
        <x:v>https://www.fda.gov/medical-devices/digital-health-center-excellence/medical-devices-incorporate-sensor-based-digital-health-technology</x:v>
      </x:c>
      <x:c r="I13" s="2" t="str">
        <x:v>FDA sensor-based digital health technology list</x:v>
      </x:c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>
      <x:c r="A14" s="48" t="n">
        <x:v>46077</x:v>
      </x:c>
      <x:c r="B14" s="2" t="n">
        <x:v>2026</x:v>
      </x:c>
      <x:c r="C14" s="2" t="str">
        <x:v>K253186</x:v>
      </x:c>
      <x:c r="D14" s="2" t="str">
        <x:v>HemoSphere Nano Monitor (HSNANO1)</x:v>
      </x:c>
      <x:c r="E14" s="2" t="str">
        <x:v>Edwards Lifesciences, LLC</x:v>
      </x:c>
      <x:c r="F14" s="2" t="str">
        <x:v>Cardiovascular</x:v>
      </x:c>
      <x:c r="G14" s="2" t="str">
        <x:v>DQK</x:v>
      </x:c>
      <x:c r="H14" s="2" t="str">
        <x:v>https://www.fda.gov/medical-devices/digital-health-center-excellence/medical-devices-incorporate-sensor-based-digital-health-technology</x:v>
      </x:c>
      <x:c r="I14" s="2" t="str">
        <x:v>FDA sensor-based digital health technology list</x:v>
      </x:c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>
      <x:c r="A15" s="48" t="n">
        <x:v>46056</x:v>
      </x:c>
      <x:c r="B15" s="2" t="n">
        <x:v>2026</x:v>
      </x:c>
      <x:c r="C15" s="2" t="str">
        <x:v>K253737</x:v>
      </x:c>
      <x:c r="D15" s="2" t="str">
        <x:v>Dexcom G7 Continuous Glucose Monitoring (CGM) System; Dexcom G7 15 Day Continuous Glucose Monitoring (CGM) System</x:v>
      </x:c>
      <x:c r="E15" s="2" t="str">
        <x:v>Dexcom, Inc.</x:v>
      </x:c>
      <x:c r="F15" s="2" t="str">
        <x:v>Clinical Chemistry</x:v>
      </x:c>
      <x:c r="G15" s="2" t="str">
        <x:v>QBJ</x:v>
      </x:c>
      <x:c r="H15" s="2" t="str">
        <x:v>https://www.fda.gov/medical-devices/digital-health-center-excellence/medical-devices-incorporate-sensor-based-digital-health-technology</x:v>
      </x:c>
      <x:c r="I15" s="2" t="str">
        <x:v>FDA sensor-based digital health technology list</x:v>
      </x:c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48" t="n">
        <x:v>46045</x:v>
      </x:c>
      <x:c r="B16" s="2" t="n">
        <x:v>2026</x:v>
      </x:c>
      <x:c r="C16" s="2" t="str">
        <x:v>K243349</x:v>
      </x:c>
      <x:c r="D16" s="2" t="str">
        <x:v>BodyGuardian Remote Monitoring System (BGRMS v3.0)</x:v>
      </x:c>
      <x:c r="E16" s="2" t="str">
        <x:v>Boston Scientific Cardiac Diagnostic Technologies, Inc.</x:v>
      </x:c>
      <x:c r="F16" s="2" t="str">
        <x:v>Cardiovascular</x:v>
      </x:c>
      <x:c r="G16" s="2" t="str">
        <x:v>DSI</x:v>
      </x:c>
      <x:c r="H16" s="2" t="str">
        <x:v>https://www.fda.gov/medical-devices/digital-health-center-excellence/medical-devices-incorporate-sensor-based-digital-health-technology</x:v>
      </x:c>
      <x:c r="I16" s="2" t="str">
        <x:v>FDA sensor-based digital health technology list</x:v>
      </x:c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48" t="n">
        <x:v>46044</x:v>
      </x:c>
      <x:c r="B17" s="2" t="n">
        <x:v>2026</x:v>
      </x:c>
      <x:c r="C17" s="2" t="str">
        <x:v>K252984</x:v>
      </x:c>
      <x:c r="D17" s="2" t="str">
        <x:v>Perin Health System (PHD80060-2)</x:v>
      </x:c>
      <x:c r="E17" s="2" t="str">
        <x:v>Perin Health Devices, LLC</x:v>
      </x:c>
      <x:c r="F17" s="2" t="str">
        <x:v>Cardiovascular</x:v>
      </x:c>
      <x:c r="G17" s="2" t="str">
        <x:v>DRG</x:v>
      </x:c>
      <x:c r="H17" s="2" t="str">
        <x:v>https://www.fda.gov/medical-devices/digital-health-center-excellence/medical-devices-incorporate-sensor-based-digital-health-technology</x:v>
      </x:c>
      <x:c r="I17" s="2" t="str">
        <x:v>FDA sensor-based digital health technology list</x:v>
      </x:c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48" t="n">
        <x:v>46038</x:v>
      </x:c>
      <x:c r="B18" s="2" t="n">
        <x:v>2026</x:v>
      </x:c>
      <x:c r="C18" s="2" t="str">
        <x:v>K251353</x:v>
      </x:c>
      <x:c r="D18" s="2" t="str">
        <x:v>Eyer 2</x:v>
      </x:c>
      <x:c r="E18" s="2" t="str">
        <x:v>Phelcom Technologies</x:v>
      </x:c>
      <x:c r="F18" s="2" t="str">
        <x:v>Ophthalmic</x:v>
      </x:c>
      <x:c r="G18" s="2" t="str">
        <x:v>HKI</x:v>
      </x:c>
      <x:c r="H18" s="2" t="str">
        <x:v>https://www.fda.gov/medical-devices/digital-health-center-excellence/medical-devices-incorporate-sensor-based-digital-health-technology</x:v>
      </x:c>
      <x:c r="I18" s="2" t="str">
        <x:v>FDA sensor-based digital health technology list</x:v>
      </x:c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48" t="n">
        <x:v>46013</x:v>
      </x:c>
      <x:c r="B19" s="2" t="n">
        <x:v>2025</x:v>
      </x:c>
      <x:c r="C19" s="2" t="str">
        <x:v>K252981</x:v>
      </x:c>
      <x:c r="D19" s="2" t="str">
        <x:v>EmbraceMini</x:v>
      </x:c>
      <x:c r="E19" s="2" t="str">
        <x:v>Empatica S.R.L.</x:v>
      </x:c>
      <x:c r="F19" s="2" t="str">
        <x:v>Neurology</x:v>
      </x:c>
      <x:c r="G19" s="2" t="str">
        <x:v>LEL</x:v>
      </x:c>
      <x:c r="H19" s="2" t="str">
        <x:v>https://www.fda.gov/medical-devices/digital-health-center-excellence/medical-devices-incorporate-sensor-based-digital-health-technology</x:v>
      </x:c>
      <x:c r="I19" s="2" t="str">
        <x:v>FDA sensor-based digital health technology list</x:v>
      </x:c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48" t="n">
        <x:v>46008</x:v>
      </x:c>
      <x:c r="B20" s="2" t="n">
        <x:v>2025</x:v>
      </x:c>
      <x:c r="C20" s="2" t="str">
        <x:v>K253710</x:v>
      </x:c>
      <x:c r="D20" s="2" t="str">
        <x:v>Dexcom G7 Continuous Glucose Monitoring (CGM) System, Dexcom G7 15 Day Continuous Glucose Monitoring (CGM) System</x:v>
      </x:c>
      <x:c r="E20" s="2" t="str">
        <x:v>Dexcom, Inc.</x:v>
      </x:c>
      <x:c r="F20" s="2" t="str">
        <x:v>Clinical Chemistry</x:v>
      </x:c>
      <x:c r="G20" s="2" t="str">
        <x:v>QBJ</x:v>
      </x:c>
      <x:c r="H20" s="2" t="str">
        <x:v>https://www.fda.gov/medical-devices/digital-health-center-excellence/medical-devices-incorporate-sensor-based-digital-health-technology</x:v>
      </x:c>
      <x:c r="I20" s="2" t="str">
        <x:v>FDA sensor-based digital health technology list</x:v>
      </x:c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48" t="n">
        <x:v>46002</x:v>
      </x:c>
      <x:c r="B21" s="2" t="n">
        <x:v>2025</x:v>
      </x:c>
      <x:c r="C21" s="2" t="str">
        <x:v>K253141</x:v>
      </x:c>
      <x:c r="D21" s="2" t="str">
        <x:v>DeepRhythmAI</x:v>
      </x:c>
      <x:c r="E21" s="2" t="str">
        <x:v>Medicalgorithmics S.A.</x:v>
      </x:c>
      <x:c r="F21" s="2" t="str">
        <x:v>Cardiovascular</x:v>
      </x:c>
      <x:c r="G21" s="2" t="str">
        <x:v>DQK</x:v>
      </x:c>
      <x:c r="H21" s="2" t="str">
        <x:v>https://www.fda.gov/medical-devices/digital-health-center-excellence/medical-devices-incorporate-sensor-based-digital-health-technology</x:v>
      </x:c>
      <x:c r="I21" s="2" t="str">
        <x:v>FDA sensor-based digital health technology list</x:v>
      </x:c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48" t="n">
        <x:v>46001</x:v>
      </x:c>
      <x:c r="B22" s="2" t="n">
        <x:v>2025</x:v>
      </x:c>
      <x:c r="C22" s="2" t="str">
        <x:v>K252497</x:v>
      </x:c>
      <x:c r="D22" s="2" t="str">
        <x:v>SANSA HSAT</x:v>
      </x:c>
      <x:c r="E22" s="2" t="str">
        <x:v>Huxley Medical</x:v>
      </x:c>
      <x:c r="F22" s="2" t="str">
        <x:v>Anesthesiology</x:v>
      </x:c>
      <x:c r="G22" s="2" t="str">
        <x:v>MNR</x:v>
      </x:c>
      <x:c r="H22" s="2" t="str">
        <x:v>https://www.fda.gov/medical-devices/digital-health-center-excellence/medical-devices-incorporate-sensor-based-digital-health-technology</x:v>
      </x:c>
      <x:c r="I22" s="2" t="str">
        <x:v>FDA sensor-based digital health technology list</x:v>
      </x:c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48" t="n">
        <x:v>45996</x:v>
      </x:c>
      <x:c r="B23" s="2" t="n">
        <x:v>2025</x:v>
      </x:c>
      <x:c r="C23" s="2" t="str">
        <x:v>K243438</x:v>
      </x:c>
      <x:c r="D23" s="2" t="str">
        <x:v>MEMO Patch M (MPT-E08R-UNC01)</x:v>
      </x:c>
      <x:c r="E23" s="2" t="str">
        <x:v>HUINNO Co., Ltd.</x:v>
      </x:c>
      <x:c r="F23" s="2" t="str">
        <x:v>Cardiovascular</x:v>
      </x:c>
      <x:c r="G23" s="2" t="str">
        <x:v>DXH</x:v>
      </x:c>
      <x:c r="H23" s="2" t="str">
        <x:v>https://www.fda.gov/medical-devices/digital-health-center-excellence/medical-devices-incorporate-sensor-based-digital-health-technology</x:v>
      </x:c>
      <x:c r="I23" s="2" t="str">
        <x:v>FDA sensor-based digital health technology list</x:v>
      </x:c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48" t="n">
        <x:v>45994</x:v>
      </x:c>
      <x:c r="B24" s="2" t="n">
        <x:v>2025</x:v>
      </x:c>
      <x:c r="C24" s="2" t="str">
        <x:v>K253293</x:v>
      </x:c>
      <x:c r="D24" s="2" t="str">
        <x:v>VitaloJAK Clinic (Model 7100)</x:v>
      </x:c>
      <x:c r="E24" s="2" t="str">
        <x:v>Vitalograph, Ltd.</x:v>
      </x:c>
      <x:c r="F24" s="2" t="str">
        <x:v>Cardiovascular</x:v>
      </x:c>
      <x:c r="G24" s="2" t="str">
        <x:v>DSH</x:v>
      </x:c>
      <x:c r="H24" s="2" t="str">
        <x:v>https://www.fda.gov/medical-devices/digital-health-center-excellence/medical-devices-incorporate-sensor-based-digital-health-technology</x:v>
      </x:c>
      <x:c r="I24" s="2" t="str">
        <x:v>FDA sensor-based digital health technology list</x:v>
      </x:c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48" t="n">
        <x:v>45982</x:v>
      </x:c>
      <x:c r="B25" s="2" t="n">
        <x:v>2025</x:v>
      </x:c>
      <x:c r="C25" s="2" t="str">
        <x:v>K251506</x:v>
      </x:c>
      <x:c r="D25" s="2" t="str">
        <x:v>Nelli (Version 7.11)</x:v>
      </x:c>
      <x:c r="E25" s="2" t="str">
        <x:v>Neuro Event Labs OY</x:v>
      </x:c>
      <x:c r="F25" s="2" t="str">
        <x:v>Neurology</x:v>
      </x:c>
      <x:c r="G25" s="2" t="str">
        <x:v>POS</x:v>
      </x:c>
      <x:c r="H25" s="2" t="str">
        <x:v>https://www.fda.gov/medical-devices/digital-health-center-excellence/medical-devices-incorporate-sensor-based-digital-health-technology</x:v>
      </x:c>
      <x:c r="I25" s="2" t="str">
        <x:v>FDA sensor-based digital health technology list</x:v>
      </x:c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48" t="n">
        <x:v>45979</x:v>
      </x:c>
      <x:c r="B26" s="2" t="n">
        <x:v>2025</x:v>
      </x:c>
      <x:c r="C26" s="2" t="str">
        <x:v>K243981</x:v>
      </x:c>
      <x:c r="D26" s="2" t="str">
        <x:v>Hexoskin Medical System (7100-00016)</x:v>
      </x:c>
      <x:c r="E26" s="2" t="str">
        <x:v>Carre Technologies, Inc.</x:v>
      </x:c>
      <x:c r="F26" s="2" t="str">
        <x:v>Cardiovascular</x:v>
      </x:c>
      <x:c r="G26" s="2" t="str">
        <x:v>DXH</x:v>
      </x:c>
      <x:c r="H26" s="2" t="str">
        <x:v>https://www.fda.gov/medical-devices/digital-health-center-excellence/medical-devices-incorporate-sensor-based-digital-health-technology</x:v>
      </x:c>
      <x:c r="I26" s="2" t="str">
        <x:v>FDA sensor-based digital health technology list</x:v>
      </x:c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48" t="n">
        <x:v>45978</x:v>
      </x:c>
      <x:c r="B27" s="2" t="n">
        <x:v>2025</x:v>
      </x:c>
      <x:c r="C27" s="2" t="str">
        <x:v>K252330</x:v>
      </x:c>
      <x:c r="D27" s="2" t="str">
        <x:v>DeepRESP</x:v>
      </x:c>
      <x:c r="E27" s="2" t="str">
        <x:v>Nox Medical Ehf</x:v>
      </x:c>
      <x:c r="F27" s="2" t="str">
        <x:v>Neurology</x:v>
      </x:c>
      <x:c r="G27" s="2" t="str">
        <x:v>OLZ</x:v>
      </x:c>
      <x:c r="H27" s="2" t="str">
        <x:v>https://www.fda.gov/medical-devices/digital-health-center-excellence/medical-devices-incorporate-sensor-based-digital-health-technology</x:v>
      </x:c>
      <x:c r="I27" s="2" t="str">
        <x:v>FDA sensor-based digital health technology list</x:v>
      </x:c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48" t="n">
        <x:v>45959</x:v>
      </x:c>
      <x:c r="B28" s="2" t="n">
        <x:v>2025</x:v>
      </x:c>
      <x:c r="C28" s="2" t="str">
        <x:v>K250882</x:v>
      </x:c>
      <x:c r="D28" s="2" t="str">
        <x:v>SANSA HSAT</x:v>
      </x:c>
      <x:c r="E28" s="2" t="str">
        <x:v>Huxley Medical</x:v>
      </x:c>
      <x:c r="F28" s="2" t="str">
        <x:v>Anesthesiology</x:v>
      </x:c>
      <x:c r="G28" s="2" t="str">
        <x:v>MNR</x:v>
      </x:c>
      <x:c r="H28" s="2" t="str">
        <x:v>https://www.fda.gov/medical-devices/digital-health-center-excellence/medical-devices-incorporate-sensor-based-digital-health-technology</x:v>
      </x:c>
      <x:c r="I28" s="2" t="str">
        <x:v>FDA sensor-based digital health technology list</x:v>
      </x:c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48" t="n">
        <x:v>45932</x:v>
      </x:c>
      <x:c r="B29" s="2" t="n">
        <x:v>2025</x:v>
      </x:c>
      <x:c r="C29" s="2" t="str">
        <x:v>K252440</x:v>
      </x:c>
      <x:c r="D29" s="2" t="str">
        <x:v>EasyTeleMed (2.0.2)</x:v>
      </x:c>
      <x:c r="E29" s="2" t="str">
        <x:v>Ingeniars S.R.L.</x:v>
      </x:c>
      <x:c r="F29" s="2" t="str">
        <x:v>Cardiovascular</x:v>
      </x:c>
      <x:c r="G29" s="2" t="str">
        <x:v>DRG</x:v>
      </x:c>
      <x:c r="H29" s="2" t="str">
        <x:v>https://www.fda.gov/medical-devices/digital-health-center-excellence/medical-devices-incorporate-sensor-based-digital-health-technology</x:v>
      </x:c>
      <x:c r="I29" s="2" t="str">
        <x:v>FDA sensor-based digital health technology list</x:v>
      </x:c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48" t="n">
        <x:v>45923</x:v>
      </x:c>
      <x:c r="B30" s="2" t="n">
        <x:v>2025</x:v>
      </x:c>
      <x:c r="C30" s="2" t="str">
        <x:v>DEN240080</x:v>
      </x:c>
      <x:c r="D30" s="2" t="str">
        <x:v>Biolinq Shine Autonomous Time-in-Range Microsensor</x:v>
      </x:c>
      <x:c r="E30" s="2" t="str">
        <x:v>Biolinq Incorporated</x:v>
      </x:c>
      <x:c r="F30" s="2" t="str">
        <x:v>Clinical Chemistry</x:v>
      </x:c>
      <x:c r="G30" s="2" t="str">
        <x:v>SFU</x:v>
      </x:c>
      <x:c r="H30" s="2" t="str">
        <x:v>https://www.fda.gov/medical-devices/digital-health-center-excellence/medical-devices-incorporate-sensor-based-digital-health-technology</x:v>
      </x:c>
      <x:c r="I30" s="2" t="str">
        <x:v>FDA sensor-based digital health technology list</x:v>
      </x:c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48" t="n">
        <x:v>45911</x:v>
      </x:c>
      <x:c r="B31" s="2" t="n">
        <x:v>2025</x:v>
      </x:c>
      <x:c r="C31" s="2" t="str">
        <x:v>K250507</x:v>
      </x:c>
      <x:c r="D31" s="2" t="str">
        <x:v>Hypertension Notification Feature (HTNF)</x:v>
      </x:c>
      <x:c r="E31" s="2" t="str">
        <x:v>Apple Inc.</x:v>
      </x:c>
      <x:c r="F31" s="2" t="str">
        <x:v>Cardiovascular</x:v>
      </x:c>
      <x:c r="G31" s="2" t="str">
        <x:v>SFR</x:v>
      </x:c>
      <x:c r="H31" s="2" t="str">
        <x:v>https://www.fda.gov/medical-devices/digital-health-center-excellence/medical-devices-incorporate-sensor-based-digital-health-technology</x:v>
      </x:c>
      <x:c r="I31" s="2" t="str">
        <x:v>FDA sensor-based digital health technology list</x:v>
      </x:c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48" t="n">
        <x:v>45905</x:v>
      </x:c>
      <x:c r="B32" s="2" t="n">
        <x:v>2025</x:v>
      </x:c>
      <x:c r="C32" s="2" t="str">
        <x:v>K250460</x:v>
      </x:c>
      <x:c r="D32" s="2" t="str">
        <x:v>WatchPAT400 (WP400)</x:v>
      </x:c>
      <x:c r="E32" s="2" t="str">
        <x:v>Itamar Medical Ltd.</x:v>
      </x:c>
      <x:c r="F32" s="2" t="str">
        <x:v>Anesthesiology</x:v>
      </x:c>
      <x:c r="G32" s="2" t="str">
        <x:v>MNR</x:v>
      </x:c>
      <x:c r="H32" s="2" t="str">
        <x:v>https://www.fda.gov/medical-devices/digital-health-center-excellence/medical-devices-incorporate-sensor-based-digital-health-technology</x:v>
      </x:c>
      <x:c r="I32" s="2" t="str">
        <x:v>FDA sensor-based digital health technology list</x:v>
      </x:c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48" t="n">
        <x:v>45898</x:v>
      </x:c>
      <x:c r="B33" s="2" t="n">
        <x:v>2025</x:v>
      </x:c>
      <x:c r="C33" s="2" t="str">
        <x:v>K250874</x:v>
      </x:c>
      <x:c r="D33" s="2" t="str">
        <x:v>Sunrise</x:v>
      </x:c>
      <x:c r="E33" s="2" t="str">
        <x:v>Sunrise SA</x:v>
      </x:c>
      <x:c r="F33" s="2" t="str">
        <x:v>Ear Nose &amp; Throat</x:v>
      </x:c>
      <x:c r="G33" s="2" t="str">
        <x:v>QRS</x:v>
      </x:c>
      <x:c r="H33" s="2" t="str">
        <x:v>https://www.fda.gov/medical-devices/digital-health-center-excellence/medical-devices-incorporate-sensor-based-digital-health-technology</x:v>
      </x:c>
      <x:c r="I33" s="2" t="str">
        <x:v>FDA sensor-based digital health technology list</x:v>
      </x:c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48" t="n">
        <x:v>45897</x:v>
      </x:c>
      <x:c r="B34" s="2" t="n">
        <x:v>2025</x:v>
      </x:c>
      <x:c r="C34" s="2" t="str">
        <x:v>K252383</x:v>
      </x:c>
      <x:c r="D34" s="2" t="str">
        <x:v>Somfit D</x:v>
      </x:c>
      <x:c r="E34" s="2" t="str">
        <x:v>Compumedics Limited</x:v>
      </x:c>
      <x:c r="F34" s="2" t="str">
        <x:v>Anesthesiology</x:v>
      </x:c>
      <x:c r="G34" s="2" t="str">
        <x:v>MNR</x:v>
      </x:c>
      <x:c r="H34" s="2" t="str">
        <x:v>https://www.fda.gov/medical-devices/digital-health-center-excellence/medical-devices-incorporate-sensor-based-digital-health-technology</x:v>
      </x:c>
      <x:c r="I34" s="2" t="str">
        <x:v>FDA sensor-based digital health technology list</x:v>
      </x:c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48" t="n">
        <x:v>45884</x:v>
      </x:c>
      <x:c r="B35" s="2" t="n">
        <x:v>2025</x:v>
      </x:c>
      <x:c r="C35" s="2" t="str">
        <x:v>K243650</x:v>
      </x:c>
      <x:c r="D35" s="2" t="str">
        <x:v>Zio monitor (DFG0001)</x:v>
      </x:c>
      <x:c r="E35" s="2" t="str">
        <x:v>iRhythm Technologies, Inc.</x:v>
      </x:c>
      <x:c r="F35" s="2" t="str">
        <x:v>Cardiovascular</x:v>
      </x:c>
      <x:c r="G35" s="2" t="str">
        <x:v>DSH</x:v>
      </x:c>
      <x:c r="H35" s="2" t="str">
        <x:v>https://www.fda.gov/medical-devices/digital-health-center-excellence/medical-devices-incorporate-sensor-based-digital-health-technology</x:v>
      </x:c>
      <x:c r="I35" s="2" t="str">
        <x:v>FDA sensor-based digital health technology list</x:v>
      </x:c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48" t="n">
        <x:v>45875</x:v>
      </x:c>
      <x:c r="B36" s="2" t="n">
        <x:v>2025</x:v>
      </x:c>
      <x:c r="C36" s="2" t="str">
        <x:v>P250012</x:v>
      </x:c>
      <x:c r="D36" s="2" t="str">
        <x:v>Guardian 4 Sensor</x:v>
      </x:c>
      <x:c r="E36" s="2" t="str">
        <x:v>Medtronic Minimed, Inc.</x:v>
      </x:c>
      <x:c r="F36" s="2" t="str">
        <x:v>Clinical Chemistry</x:v>
      </x:c>
      <x:c r="G36" s="2" t="str">
        <x:v>SFI</x:v>
      </x:c>
      <x:c r="H36" s="2" t="str">
        <x:v>https://www.fda.gov/medical-devices/digital-health-center-excellence/medical-devices-incorporate-sensor-based-digital-health-technology</x:v>
      </x:c>
      <x:c r="I36" s="2" t="str">
        <x:v>FDA sensor-based digital health technology list</x:v>
      </x:c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48" t="n">
        <x:v>45869</x:v>
      </x:c>
      <x:c r="B37" s="2" t="n">
        <x:v>2025</x:v>
      </x:c>
      <x:c r="C37" s="2" t="str">
        <x:v>K251574</x:v>
      </x:c>
      <x:c r="D37" s="2" t="str">
        <x:v>Sleep Watch</x:v>
      </x:c>
      <x:c r="E37" s="2" t="str">
        <x:v>Ambulatory Monitoring, Inc.</x:v>
      </x:c>
      <x:c r="F37" s="2" t="str">
        <x:v>Neurology</x:v>
      </x:c>
      <x:c r="G37" s="2" t="str">
        <x:v>LEL</x:v>
      </x:c>
      <x:c r="H37" s="2" t="str">
        <x:v>https://www.fda.gov/medical-devices/digital-health-center-excellence/medical-devices-incorporate-sensor-based-digital-health-technology</x:v>
      </x:c>
      <x:c r="I37" s="2" t="str">
        <x:v>FDA sensor-based digital health technology list</x:v>
      </x:c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48" t="n">
        <x:v>45860</x:v>
      </x:c>
      <x:c r="B38" s="2" t="n">
        <x:v>2025</x:v>
      </x:c>
      <x:c r="C38" s="2" t="str">
        <x:v>K243566</x:v>
      </x:c>
      <x:c r="D38" s="2" t="str">
        <x:v>CardioTag</x:v>
      </x:c>
      <x:c r="E38" s="2" t="str">
        <x:v>Cardiosense, Inc.</x:v>
      </x:c>
      <x:c r="F38" s="2" t="str">
        <x:v>Cardiovascular</x:v>
      </x:c>
      <x:c r="G38" s="2" t="str">
        <x:v>DXR</x:v>
      </x:c>
      <x:c r="H38" s="2" t="str">
        <x:v>https://www.fda.gov/medical-devices/digital-health-center-excellence/medical-devices-incorporate-sensor-based-digital-health-technology</x:v>
      </x:c>
      <x:c r="I38" s="2" t="str">
        <x:v>FDA sensor-based digital health technology list</x:v>
      </x:c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48" t="n">
        <x:v>45850</x:v>
      </x:c>
      <x:c r="B39" s="2" t="n">
        <x:v>2025</x:v>
      </x:c>
      <x:c r="C39" s="2" t="str">
        <x:v>K243199</x:v>
      </x:c>
      <x:c r="D39" s="2" t="str">
        <x:v>NightWatch+ US</x:v>
      </x:c>
      <x:c r="E39" s="2" t="str">
        <x:v>LivAssured BV</x:v>
      </x:c>
      <x:c r="F39" s="2" t="str">
        <x:v>Neurology</x:v>
      </x:c>
      <x:c r="G39" s="2" t="str">
        <x:v>POS</x:v>
      </x:c>
      <x:c r="H39" s="2" t="str">
        <x:v>https://www.fda.gov/medical-devices/digital-health-center-excellence/medical-devices-incorporate-sensor-based-digital-health-technology</x:v>
      </x:c>
      <x:c r="I39" s="2" t="str">
        <x:v>FDA sensor-based digital health technology list</x:v>
      </x:c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48" t="n">
        <x:v>45849</x:v>
      </x:c>
      <x:c r="B40" s="2" t="n">
        <x:v>2025</x:v>
      </x:c>
      <x:c r="C40" s="2" t="str">
        <x:v>K241179</x:v>
      </x:c>
      <x:c r="D40" s="2" t="str">
        <x:v>Rhythm Express Remote Cardiac Monitoring System (RX-1 mini)</x:v>
      </x:c>
      <x:c r="E40" s="2" t="str">
        <x:v>VivaQuant, Inc.</x:v>
      </x:c>
      <x:c r="F40" s="2" t="str">
        <x:v>Cardiovascular</x:v>
      </x:c>
      <x:c r="G40" s="2" t="str">
        <x:v>QYX</x:v>
      </x:c>
      <x:c r="H40" s="2" t="str">
        <x:v>https://www.fda.gov/medical-devices/digital-health-center-excellence/medical-devices-incorporate-sensor-based-digital-health-technology</x:v>
      </x:c>
      <x:c r="I40" s="2" t="str">
        <x:v>FDA sensor-based digital health technology list</x:v>
      </x:c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48" t="n">
        <x:v>45841</x:v>
      </x:c>
      <x:c r="B41" s="2" t="n">
        <x:v>2025</x:v>
      </x:c>
      <x:c r="C41" s="2" t="str">
        <x:v>K243220</x:v>
      </x:c>
      <x:c r="D41" s="2" t="str">
        <x:v>Onera STS 2</x:v>
      </x:c>
      <x:c r="E41" s="2" t="str">
        <x:v>Onera B.V.</x:v>
      </x:c>
      <x:c r="F41" s="2" t="str">
        <x:v>Anesthesiology</x:v>
      </x:c>
      <x:c r="G41" s="2" t="str">
        <x:v>MNR</x:v>
      </x:c>
      <x:c r="H41" s="2" t="str">
        <x:v>https://www.fda.gov/medical-devices/digital-health-center-excellence/medical-devices-incorporate-sensor-based-digital-health-technology</x:v>
      </x:c>
      <x:c r="I41" s="2" t="str">
        <x:v>FDA sensor-based digital health technology list</x:v>
      </x:c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48" t="n">
        <x:v>45840</x:v>
      </x:c>
      <x:c r="B42" s="2" t="n">
        <x:v>2025</x:v>
      </x:c>
      <x:c r="C42" s="2" t="str">
        <x:v>K250415</x:v>
      </x:c>
      <x:c r="D42" s="2" t="str">
        <x:v>G0 Blood Pressure Monitoring System (G0)</x:v>
      </x:c>
      <x:c r="E42" s="2" t="str">
        <x:v>Aktiia SA</x:v>
      </x:c>
      <x:c r="F42" s="2" t="str">
        <x:v>Cardiovascular</x:v>
      </x:c>
      <x:c r="G42" s="2" t="str">
        <x:v>DXN</x:v>
      </x:c>
      <x:c r="H42" s="2" t="str">
        <x:v>https://www.fda.gov/medical-devices/digital-health-center-excellence/medical-devices-incorporate-sensor-based-digital-health-technology</x:v>
      </x:c>
      <x:c r="I42" s="2" t="str">
        <x:v>FDA sensor-based digital health technology list</x:v>
      </x:c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48" t="n">
        <x:v>45827</x:v>
      </x:c>
      <x:c r="B43" s="2" t="n">
        <x:v>2025</x:v>
      </x:c>
      <x:c r="C43" s="2" t="str">
        <x:v>K250515</x:v>
      </x:c>
      <x:c r="D43" s="2" t="str">
        <x:v>EpiMonitor</x:v>
      </x:c>
      <x:c r="E43" s="2" t="str">
        <x:v>Empatica Srl</x:v>
      </x:c>
      <x:c r="F43" s="2" t="str">
        <x:v>Neurology</x:v>
      </x:c>
      <x:c r="G43" s="2" t="str">
        <x:v>POS</x:v>
      </x:c>
      <x:c r="H43" s="2" t="str">
        <x:v>https://www.fda.gov/medical-devices/digital-health-center-excellence/medical-devices-incorporate-sensor-based-digital-health-technology</x:v>
      </x:c>
      <x:c r="I43" s="2" t="str">
        <x:v>FDA sensor-based digital health technology list</x:v>
      </x:c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48" t="n">
        <x:v>45826</x:v>
      </x:c>
      <x:c r="B44" s="2" t="n">
        <x:v>2025</x:v>
      </x:c>
      <x:c r="C44" s="2" t="str">
        <x:v>K242224</x:v>
      </x:c>
      <x:c r="D44" s="2" t="str">
        <x:v>Happy Health Home Sleep Test</x:v>
      </x:c>
      <x:c r="E44" s="2" t="str">
        <x:v>Happy Health Inc.</x:v>
      </x:c>
      <x:c r="F44" s="2" t="str">
        <x:v>Anesthesiology</x:v>
      </x:c>
      <x:c r="G44" s="2" t="str">
        <x:v>MNR</x:v>
      </x:c>
      <x:c r="H44" s="2" t="str">
        <x:v>https://www.fda.gov/medical-devices/digital-health-center-excellence/medical-devices-incorporate-sensor-based-digital-health-technology</x:v>
      </x:c>
      <x:c r="I44" s="2" t="str">
        <x:v>FDA sensor-based digital health technology list</x:v>
      </x:c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48" t="n">
        <x:v>45825</x:v>
      </x:c>
      <x:c r="B45" s="2" t="n">
        <x:v>2025</x:v>
      </x:c>
      <x:c r="C45" s="2" t="str">
        <x:v>K243003</x:v>
      </x:c>
      <x:c r="D45" s="2" t="str">
        <x:v>VitalSigns 1-Lead Holter (VSH101)</x:v>
      </x:c>
      <x:c r="E45" s="2" t="str">
        <x:v>VitalSigns Technology Co., Ltd.</x:v>
      </x:c>
      <x:c r="F45" s="2" t="str">
        <x:v>Cardiovascular</x:v>
      </x:c>
      <x:c r="G45" s="2" t="str">
        <x:v>DXH</x:v>
      </x:c>
      <x:c r="H45" s="2" t="str">
        <x:v>https://www.fda.gov/medical-devices/digital-health-center-excellence/medical-devices-incorporate-sensor-based-digital-health-technology</x:v>
      </x:c>
      <x:c r="I45" s="2" t="str">
        <x:v>FDA sensor-based digital health technology list</x:v>
      </x:c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48" t="n">
        <x:v>45823</x:v>
      </x:c>
      <x:c r="B46" s="2" t="n">
        <x:v>2025</x:v>
      </x:c>
      <x:c r="C46" s="2" t="str">
        <x:v>K240795</x:v>
      </x:c>
      <x:c r="D46" s="2" t="str">
        <x:v>Withings ECG App</x:v>
      </x:c>
      <x:c r="E46" s="2" t="str">
        <x:v>Withings</x:v>
      </x:c>
      <x:c r="F46" s="2" t="str">
        <x:v>Cardiovascular</x:v>
      </x:c>
      <x:c r="G46" s="2" t="str">
        <x:v>QDA</x:v>
      </x:c>
      <x:c r="H46" s="2" t="str">
        <x:v>https://www.fda.gov/medical-devices/digital-health-center-excellence/medical-devices-incorporate-sensor-based-digital-health-technology</x:v>
      </x:c>
      <x:c r="I46" s="2" t="str">
        <x:v>FDA sensor-based digital health technology list</x:v>
      </x:c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48" t="n">
        <x:v>45814</x:v>
      </x:c>
      <x:c r="B47" s="2" t="n">
        <x:v>2025</x:v>
      </x:c>
      <x:c r="C47" s="2" t="str">
        <x:v>K242737</x:v>
      </x:c>
      <x:c r="D47" s="2" t="str">
        <x:v>Empatica Health Monitoring Platform; EmbracePlus; Empatica Care; Care Portal</x:v>
      </x:c>
      <x:c r="E47" s="2" t="str">
        <x:v>Empatica S.r.l.</x:v>
      </x:c>
      <x:c r="F47" s="2" t="str">
        <x:v>Cardiovascular</x:v>
      </x:c>
      <x:c r="G47" s="2" t="str">
        <x:v>MWI</x:v>
      </x:c>
      <x:c r="H47" s="2" t="str">
        <x:v>https://www.fda.gov/medical-devices/digital-health-center-excellence/medical-devices-incorporate-sensor-based-digital-health-technology</x:v>
      </x:c>
      <x:c r="I47" s="2" t="str">
        <x:v>FDA sensor-based digital health technology list</x:v>
      </x:c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48" t="n">
        <x:v>45782</x:v>
      </x:c>
      <x:c r="B48" s="2" t="n">
        <x:v>2025</x:v>
      </x:c>
      <x:c r="C48" s="2" t="str">
        <x:v>K243603</x:v>
      </x:c>
      <x:c r="D48" s="2" t="str">
        <x:v>AeviceMD</x:v>
      </x:c>
      <x:c r="E48" s="2" t="str">
        <x:v>Aevice Health Pte. Ltd.</x:v>
      </x:c>
      <x:c r="F48" s="2" t="str">
        <x:v>Cardiovascular</x:v>
      </x:c>
      <x:c r="G48" s="2" t="str">
        <x:v>DSH</x:v>
      </x:c>
      <x:c r="H48" s="2" t="str">
        <x:v>https://www.fda.gov/medical-devices/digital-health-center-excellence/medical-devices-incorporate-sensor-based-digital-health-technology</x:v>
      </x:c>
      <x:c r="I48" s="2" t="str">
        <x:v>FDA sensor-based digital health technology list</x:v>
      </x:c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48" t="n">
        <x:v>45772</x:v>
      </x:c>
      <x:c r="B49" s="2" t="n">
        <x:v>2025</x:v>
      </x:c>
      <x:c r="C49" s="2" t="str">
        <x:v>K250153</x:v>
      </x:c>
      <x:c r="D49" s="2" t="str">
        <x:v>Neu Platform</x:v>
      </x:c>
      <x:c r="E49" s="2" t="str">
        <x:v>Neuhealth Digital Ltd.</x:v>
      </x:c>
      <x:c r="F49" s="2" t="str">
        <x:v>Neurology</x:v>
      </x:c>
      <x:c r="G49" s="2" t="str">
        <x:v>GYD</x:v>
      </x:c>
      <x:c r="H49" s="2" t="str">
        <x:v>https://www.fda.gov/medical-devices/digital-health-center-excellence/medical-devices-incorporate-sensor-based-digital-health-technology</x:v>
      </x:c>
      <x:c r="I49" s="2" t="str">
        <x:v>FDA sensor-based digital health technology list</x:v>
      </x:c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48" t="n">
        <x:v>45764</x:v>
      </x:c>
      <x:c r="B50" s="2" t="n">
        <x:v>2025</x:v>
      </x:c>
      <x:c r="C50" s="2" t="str">
        <x:v>K242129</x:v>
      </x:c>
      <x:c r="D50" s="2" t="str">
        <x:v>VitalRhythm</x:v>
      </x:c>
      <x:c r="E50" s="2" t="str">
        <x:v>Vitalconnect, Inc.</x:v>
      </x:c>
      <x:c r="F50" s="2" t="str">
        <x:v>Cardiovascular</x:v>
      </x:c>
      <x:c r="G50" s="2" t="str">
        <x:v>DQK</x:v>
      </x:c>
      <x:c r="H50" s="2" t="str">
        <x:v>https://www.fda.gov/medical-devices/digital-health-center-excellence/medical-devices-incorporate-sensor-based-digital-health-technology</x:v>
      </x:c>
      <x:c r="I50" s="2" t="str">
        <x:v>FDA sensor-based digital health technology list</x:v>
      </x:c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48" t="n">
        <x:v>45756</x:v>
      </x:c>
      <x:c r="B51" s="2" t="n">
        <x:v>2025</x:v>
      </x:c>
      <x:c r="C51" s="2" t="str">
        <x:v>K243214</x:v>
      </x:c>
      <x:c r="D51" s="2" t="str">
        <x:v>Dexcom G7 15 Day Continuous Glucose Monitoring System</x:v>
      </x:c>
      <x:c r="E51" s="2" t="str">
        <x:v>Dexcom, Inc.</x:v>
      </x:c>
      <x:c r="F51" s="2" t="str">
        <x:v>Clinical Chemistry</x:v>
      </x:c>
      <x:c r="G51" s="2" t="str">
        <x:v>QBJ</x:v>
      </x:c>
      <x:c r="H51" s="2" t="str">
        <x:v>https://www.fda.gov/medical-devices/digital-health-center-excellence/medical-devices-incorporate-sensor-based-digital-health-technology</x:v>
      </x:c>
      <x:c r="I51" s="2" t="str">
        <x:v>FDA sensor-based digital health technology list</x:v>
      </x:c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48" t="n">
        <x:v>45751</x:v>
      </x:c>
      <x:c r="B52" s="2" t="n">
        <x:v>2025</x:v>
      </x:c>
      <x:c r="C52" s="2" t="str">
        <x:v>K243236</x:v>
      </x:c>
      <x:c r="D52" s="2" t="str">
        <x:v>WHOOP ECG Feature (1.0)</x:v>
      </x:c>
      <x:c r="E52" s="2" t="str">
        <x:v>Whoop, Inc.</x:v>
      </x:c>
      <x:c r="F52" s="2" t="str">
        <x:v>Cardiovascular</x:v>
      </x:c>
      <x:c r="G52" s="2" t="str">
        <x:v>QDA</x:v>
      </x:c>
      <x:c r="H52" s="2" t="str">
        <x:v>https://www.fda.gov/medical-devices/digital-health-center-excellence/medical-devices-incorporate-sensor-based-digital-health-technology</x:v>
      </x:c>
      <x:c r="I52" s="2" t="str">
        <x:v>FDA sensor-based digital health technology list</x:v>
      </x:c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48" t="n">
        <x:v>45750</x:v>
      </x:c>
      <x:c r="B53" s="2" t="n">
        <x:v>2025</x:v>
      </x:c>
      <x:c r="C53" s="2" t="str">
        <x:v>K243305</x:v>
      </x:c>
      <x:c r="D53" s="2" t="str">
        <x:v>Masimo W1</x:v>
      </x:c>
      <x:c r="E53" s="2" t="str">
        <x:v>Masimo Corporation</x:v>
      </x:c>
      <x:c r="F53" s="2" t="str">
        <x:v>Cardiovascular</x:v>
      </x:c>
      <x:c r="G53" s="2" t="str">
        <x:v>DPS</x:v>
      </x:c>
      <x:c r="H53" s="2" t="str">
        <x:v>https://www.fda.gov/medical-devices/digital-health-center-excellence/medical-devices-incorporate-sensor-based-digital-health-technology</x:v>
      </x:c>
      <x:c r="I53" s="2" t="str">
        <x:v>FDA sensor-based digital health technology list</x:v>
      </x:c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48" t="n">
        <x:v>45737</x:v>
      </x:c>
      <x:c r="B54" s="2" t="n">
        <x:v>2025</x:v>
      </x:c>
      <x:c r="C54" s="2" t="str">
        <x:v>K243185</x:v>
      </x:c>
      <x:c r="D54" s="2" t="str">
        <x:v>REMI Remote EEG Monitoring System</x:v>
      </x:c>
      <x:c r="E54" s="2" t="str">
        <x:v>Epitel</x:v>
      </x:c>
      <x:c r="F54" s="2" t="str">
        <x:v>Neurology</x:v>
      </x:c>
      <x:c r="G54" s="2" t="str">
        <x:v>OMC</x:v>
      </x:c>
      <x:c r="H54" s="2" t="str">
        <x:v>https://www.fda.gov/medical-devices/digital-health-center-excellence/medical-devices-incorporate-sensor-based-digital-health-technology</x:v>
      </x:c>
      <x:c r="I54" s="2" t="str">
        <x:v>FDA sensor-based digital health technology list</x:v>
      </x:c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48" t="n">
        <x:v>45737</x:v>
      </x:c>
      <x:c r="B55" s="2" t="n">
        <x:v>2025</x:v>
      </x:c>
      <x:c r="C55" s="2" t="str">
        <x:v>K250106</x:v>
      </x:c>
      <x:c r="D55" s="2" t="str">
        <x:v>Signos Glucose Monitoring System</x:v>
      </x:c>
      <x:c r="E55" s="2" t="str">
        <x:v>Signos, Inc.</x:v>
      </x:c>
      <x:c r="F55" s="2" t="str">
        <x:v>Clinical Chemistry</x:v>
      </x:c>
      <x:c r="G55" s="2" t="str">
        <x:v>SAF</x:v>
      </x:c>
      <x:c r="H55" s="2" t="str">
        <x:v>https://www.fda.gov/medical-devices/digital-health-center-excellence/medical-devices-incorporate-sensor-based-digital-health-technology</x:v>
      </x:c>
      <x:c r="I55" s="2" t="str">
        <x:v>FDA sensor-based digital health technology list</x:v>
      </x:c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48" t="n">
        <x:v>45735</x:v>
      </x:c>
      <x:c r="B56" s="2" t="n">
        <x:v>2025</x:v>
      </x:c>
      <x:c r="C56" s="2" t="str">
        <x:v>K243092</x:v>
      </x:c>
      <x:c r="D56" s="2" t="str">
        <x:v>AcuPebble Ox (200)</x:v>
      </x:c>
      <x:c r="E56" s="2" t="str">
        <x:v>Acurable Limited</x:v>
      </x:c>
      <x:c r="F56" s="2" t="str">
        <x:v>Anesthesiology</x:v>
      </x:c>
      <x:c r="G56" s="2" t="str">
        <x:v>MNR</x:v>
      </x:c>
      <x:c r="H56" s="2" t="str">
        <x:v>https://www.fda.gov/medical-devices/digital-health-center-excellence/medical-devices-incorporate-sensor-based-digital-health-technology</x:v>
      </x:c>
      <x:c r="I56" s="2" t="str">
        <x:v>FDA sensor-based digital health technology list</x:v>
      </x:c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48" t="n">
        <x:v>45730</x:v>
      </x:c>
      <x:c r="B57" s="2" t="n">
        <x:v>2025</x:v>
      </x:c>
      <x:c r="C57" s="2" t="str">
        <x:v>K241960</x:v>
      </x:c>
      <x:c r="D57" s="2" t="str">
        <x:v>DeepRESP</x:v>
      </x:c>
      <x:c r="E57" s="2" t="str">
        <x:v>Nox Medical ehf</x:v>
      </x:c>
      <x:c r="F57" s="2" t="str">
        <x:v>Neurology</x:v>
      </x:c>
      <x:c r="G57" s="2" t="str">
        <x:v>OLZ</x:v>
      </x:c>
      <x:c r="H57" s="2" t="str">
        <x:v>https://www.fda.gov/medical-devices/digital-health-center-excellence/medical-devices-incorporate-sensor-based-digital-health-technology</x:v>
      </x:c>
      <x:c r="I57" s="2" t="str">
        <x:v>FDA sensor-based digital health technology list</x:v>
      </x:c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48" t="n">
        <x:v>45723</x:v>
      </x:c>
      <x:c r="B58" s="2" t="n">
        <x:v>2025</x:v>
      </x:c>
      <x:c r="C58" s="2" t="str">
        <x:v>K243515</x:v>
      </x:c>
      <x:c r="D58" s="2" t="str">
        <x:v>EpiWatch Monitoring System</x:v>
      </x:c>
      <x:c r="E58" s="2" t="str">
        <x:v>EpiWatch, Inc.</x:v>
      </x:c>
      <x:c r="F58" s="2" t="str">
        <x:v>Neurology</x:v>
      </x:c>
      <x:c r="G58" s="2" t="str">
        <x:v>POS</x:v>
      </x:c>
      <x:c r="H58" s="2" t="str">
        <x:v>https://www.fda.gov/medical-devices/digital-health-center-excellence/medical-devices-incorporate-sensor-based-digital-health-technology</x:v>
      </x:c>
      <x:c r="I58" s="2" t="str">
        <x:v>FDA sensor-based digital health technology list</x:v>
      </x:c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48" t="n">
        <x:v>45716</x:v>
      </x:c>
      <x:c r="B59" s="2" t="n">
        <x:v>2025</x:v>
      </x:c>
      <x:c r="C59" s="2" t="str">
        <x:v>K242876</x:v>
      </x:c>
      <x:c r="D59" s="2" t="str">
        <x:v>Pulse Oximeter (PO2, PO2A, PO2B)</x:v>
      </x:c>
      <x:c r="E59" s="2" t="str">
        <x:v>Shenzhen Viatom Technology Co., Ltd.</x:v>
      </x:c>
      <x:c r="F59" s="2" t="str">
        <x:v>Cardiovascular</x:v>
      </x:c>
      <x:c r="G59" s="2" t="str">
        <x:v>DQA</x:v>
      </x:c>
      <x:c r="H59" s="2" t="str">
        <x:v>https://www.fda.gov/medical-devices/digital-health-center-excellence/medical-devices-incorporate-sensor-based-digital-health-technology</x:v>
      </x:c>
      <x:c r="I59" s="2" t="str">
        <x:v>FDA sensor-based digital health technology list</x:v>
      </x:c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48" t="n">
        <x:v>45713</x:v>
      </x:c>
      <x:c r="B60" s="2" t="n">
        <x:v>2025</x:v>
      </x:c>
      <x:c r="C60" s="2" t="str">
        <x:v>K233963</x:v>
      </x:c>
      <x:c r="D60" s="2" t="str">
        <x:v>Aulisa Oximeter Module (2nd Gen.) (GA-OM0007, GA-OM0008)</x:v>
      </x:c>
      <x:c r="E60" s="2" t="str">
        <x:v>Taiwan Aulisa Medical Devices Technologies, Inc.</x:v>
      </x:c>
      <x:c r="F60" s="2" t="str">
        <x:v>Cardiovascular</x:v>
      </x:c>
      <x:c r="G60" s="2" t="str">
        <x:v>DQA</x:v>
      </x:c>
      <x:c r="H60" s="2" t="str">
        <x:v>https://www.fda.gov/medical-devices/digital-health-center-excellence/medical-devices-incorporate-sensor-based-digital-health-technology</x:v>
      </x:c>
      <x:c r="I60" s="2" t="str">
        <x:v>FDA sensor-based digital health technology list</x:v>
      </x:c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48" t="n">
        <x:v>45713</x:v>
      </x:c>
      <x:c r="B61" s="2" t="n">
        <x:v>2025</x:v>
      </x:c>
      <x:c r="C61" s="2" t="str">
        <x:v>K242967</x:v>
      </x:c>
      <x:c r="D61" s="2" t="str">
        <x:v>Loss of Pulse Detection</x:v>
      </x:c>
      <x:c r="E61" s="2" t="str">
        <x:v>Fitbit</x:v>
      </x:c>
      <x:c r="F61" s="2" t="str">
        <x:v>Cardiovascular</x:v>
      </x:c>
      <x:c r="G61" s="2" t="str">
        <x:v>SDY</x:v>
      </x:c>
      <x:c r="H61" s="2" t="str">
        <x:v>https://www.fda.gov/medical-devices/digital-health-center-excellence/medical-devices-incorporate-sensor-based-digital-health-technology</x:v>
      </x:c>
      <x:c r="I61" s="2" t="str">
        <x:v>FDA sensor-based digital health technology list</x:v>
      </x:c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48" t="n">
        <x:v>45708</x:v>
      </x:c>
      <x:c r="B62" s="2" t="n">
        <x:v>2025</x:v>
      </x:c>
      <x:c r="C62" s="2" t="str">
        <x:v>K242447</x:v>
      </x:c>
      <x:c r="D62" s="2" t="str">
        <x:v>Falcon HST</x:v>
      </x:c>
      <x:c r="E62" s="2" t="str">
        <x:v>Compumedics Limited</x:v>
      </x:c>
      <x:c r="F62" s="2" t="str">
        <x:v>Neurology</x:v>
      </x:c>
      <x:c r="G62" s="2" t="str">
        <x:v>OLV</x:v>
      </x:c>
      <x:c r="H62" s="2" t="str">
        <x:v>https://www.fda.gov/medical-devices/digital-health-center-excellence/medical-devices-incorporate-sensor-based-digital-health-technology</x:v>
      </x:c>
      <x:c r="I62" s="2" t="str">
        <x:v>FDA sensor-based digital health technology list</x:v>
      </x:c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48" t="n">
        <x:v>45701</x:v>
      </x:c>
      <x:c r="B63" s="2" t="n">
        <x:v>2025</x:v>
      </x:c>
      <x:c r="C63" s="2" t="str">
        <x:v>K243778</x:v>
      </x:c>
      <x:c r="D63" s="2" t="str">
        <x:v>Body Temperature Software (BTS)</x:v>
      </x:c>
      <x:c r="E63" s="2" t="str">
        <x:v>Fitbit, LLC</x:v>
      </x:c>
      <x:c r="F63" s="2" t="str">
        <x:v>General Hospital</x:v>
      </x:c>
      <x:c r="G63" s="2" t="str">
        <x:v>QZA</x:v>
      </x:c>
      <x:c r="H63" s="2" t="str">
        <x:v>https://www.fda.gov/medical-devices/digital-health-center-excellence/medical-devices-incorporate-sensor-based-digital-health-technology</x:v>
      </x:c>
      <x:c r="I63" s="2" t="str">
        <x:v>FDA sensor-based digital health technology list</x:v>
      </x:c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48" t="n">
        <x:v>45691</x:v>
      </x:c>
      <x:c r="B64" s="2" t="n">
        <x:v>2025</x:v>
      </x:c>
      <x:c r="C64" s="2" t="str">
        <x:v>K243268</x:v>
      </x:c>
      <x:c r="D64" s="2" t="str">
        <x:v>TipTraQ (TTQ001)</x:v>
      </x:c>
      <x:c r="E64" s="2" t="str">
        <x:v>PranaQ Pte. Ltd.</x:v>
      </x:c>
      <x:c r="F64" s="2" t="str">
        <x:v>Anesthesiology</x:v>
      </x:c>
      <x:c r="G64" s="2" t="str">
        <x:v>MNR</x:v>
      </x:c>
      <x:c r="H64" s="2" t="str">
        <x:v>https://www.fda.gov/medical-devices/digital-health-center-excellence/medical-devices-incorporate-sensor-based-digital-health-technology</x:v>
      </x:c>
      <x:c r="I64" s="2" t="str">
        <x:v>FDA sensor-based digital health technology list</x:v>
      </x:c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48" t="n">
        <x:v>45687</x:v>
      </x:c>
      <x:c r="B65" s="2" t="n">
        <x:v>2025</x:v>
      </x:c>
      <x:c r="C65" s="2" t="str">
        <x:v>K233956</x:v>
      </x:c>
      <x:c r="D65" s="2" t="str">
        <x:v>Aulisa Infant Oximeter Module (2nd Gen.) (GA-OM0018)</x:v>
      </x:c>
      <x:c r="E65" s="2" t="str">
        <x:v>Taiwan Aulisa Medical Devices Technologies, Inc.</x:v>
      </x:c>
      <x:c r="F65" s="2" t="str">
        <x:v>Cardiovascular</x:v>
      </x:c>
      <x:c r="G65" s="2" t="str">
        <x:v>DQA</x:v>
      </x:c>
      <x:c r="H65" s="2" t="str">
        <x:v>https://www.fda.gov/medical-devices/digital-health-center-excellence/medical-devices-incorporate-sensor-based-digital-health-technology</x:v>
      </x:c>
      <x:c r="I65" s="2" t="str">
        <x:v>FDA sensor-based digital health technology list</x:v>
      </x:c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48" t="n">
        <x:v>45685</x:v>
      </x:c>
      <x:c r="B66" s="2" t="n">
        <x:v>2025</x:v>
      </x:c>
      <x:c r="C66" s="2" t="str">
        <x:v>K244027</x:v>
      </x:c>
      <x:c r="D66" s="2" t="str">
        <x:v>SANSA HSAT</x:v>
      </x:c>
      <x:c r="E66" s="2" t="str">
        <x:v>Huxley Medical</x:v>
      </x:c>
      <x:c r="F66" s="2" t="str">
        <x:v>Anesthesiology</x:v>
      </x:c>
      <x:c r="G66" s="2" t="str">
        <x:v>MNR</x:v>
      </x:c>
      <x:c r="H66" s="2" t="str">
        <x:v>https://www.fda.gov/medical-devices/digital-health-center-excellence/medical-devices-incorporate-sensor-based-digital-health-technology</x:v>
      </x:c>
      <x:c r="I66" s="2" t="str">
        <x:v>FDA sensor-based digital health technology list</x:v>
      </x:c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48" t="n">
        <x:v>45671</x:v>
      </x:c>
      <x:c r="B67" s="2" t="n">
        <x:v>2025</x:v>
      </x:c>
      <x:c r="C67" s="2" t="str">
        <x:v>K241066</x:v>
      </x:c>
      <x:c r="D67" s="2" t="str">
        <x:v>BB-613-BPM</x:v>
      </x:c>
      <x:c r="E67" s="2" t="str">
        <x:v>BioBeat Technologies Ltd.</x:v>
      </x:c>
      <x:c r="F67" s="2" t="str">
        <x:v>Cardiovascular</x:v>
      </x:c>
      <x:c r="G67" s="2" t="str">
        <x:v>DXN</x:v>
      </x:c>
      <x:c r="H67" s="2" t="str">
        <x:v>https://www.fda.gov/medical-devices/digital-health-center-excellence/medical-devices-incorporate-sensor-based-digital-health-technology</x:v>
      </x:c>
      <x:c r="I67" s="2" t="str">
        <x:v>FDA sensor-based digital health technology list</x:v>
      </x:c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48" t="n">
        <x:v>45665</x:v>
      </x:c>
      <x:c r="B68" s="2" t="n">
        <x:v>2025</x:v>
      </x:c>
      <x:c r="C68" s="2" t="str">
        <x:v>K242290</x:v>
      </x:c>
      <x:c r="D68" s="2" t="str">
        <x:v>DormoTech NLab</x:v>
      </x:c>
      <x:c r="E68" s="2" t="str">
        <x:v>DormoTech Medical LTD</x:v>
      </x:c>
      <x:c r="F68" s="2" t="str">
        <x:v>Anesthesiology</x:v>
      </x:c>
      <x:c r="G68" s="2" t="str">
        <x:v>MNR</x:v>
      </x:c>
      <x:c r="H68" s="2" t="str">
        <x:v>https://www.fda.gov/medical-devices/digital-health-center-excellence/medical-devices-incorporate-sensor-based-digital-health-technology</x:v>
      </x:c>
      <x:c r="I68" s="2" t="str">
        <x:v>FDA sensor-based digital health technology list</x:v>
      </x:c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48" t="n">
        <x:v>45665</x:v>
      </x:c>
      <x:c r="B69" s="2" t="n">
        <x:v>2025</x:v>
      </x:c>
      <x:c r="C69" s="2" t="str">
        <x:v>K242842</x:v>
      </x:c>
      <x:c r="D69" s="2" t="str">
        <x:v>ANNE View, Central Hub</x:v>
      </x:c>
      <x:c r="E69" s="2" t="str">
        <x:v>Sibel Health, Inc.</x:v>
      </x:c>
      <x:c r="F69" s="2" t="str">
        <x:v>Cardiovascular</x:v>
      </x:c>
      <x:c r="G69" s="2" t="str">
        <x:v>MSX</x:v>
      </x:c>
      <x:c r="H69" s="2" t="str">
        <x:v>https://www.fda.gov/medical-devices/digital-health-center-excellence/medical-devices-incorporate-sensor-based-digital-health-technology</x:v>
      </x:c>
      <x:c r="I69" s="2" t="str">
        <x:v>FDA sensor-based digital health technology list</x:v>
      </x:c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48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48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48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48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48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48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48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48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48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48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48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48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48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48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48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48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48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48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48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48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48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48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48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48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48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48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48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48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48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48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48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48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48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48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48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48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48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48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48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48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48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48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48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48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48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48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48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48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48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48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48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48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48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48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48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48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48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48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48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48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48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48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48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48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48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48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48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48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48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48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48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48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48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48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48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48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48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48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48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48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48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48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48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48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48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48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48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48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48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48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48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48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48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48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48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48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48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48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48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48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48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48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48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48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48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48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48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48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48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48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48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48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48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48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48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48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48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48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48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48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48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48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48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48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48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48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48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48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48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48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48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>
      <x:c r="A201" s="48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>
      <x:c r="A202" s="48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>
      <x:c r="A203" s="48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>
      <x:c r="A204" s="48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>
      <x:c r="A205" s="48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>
      <x:c r="A206" s="48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>
      <x:c r="A207" s="48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>
      <x:c r="A208" s="48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>
      <x:c r="A209" s="48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>
      <x:c r="A210" s="48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>
      <x:c r="A211" s="48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>
      <x:c r="A212" s="48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>
      <x:c r="A213" s="48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>
      <x:c r="A214" s="48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>
      <x:c r="A215" s="48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>
      <x:c r="A216" s="48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>
      <x:c r="A217" s="48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>
      <x:c r="A218" s="48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>
      <x:c r="A219" s="48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>
      <x:c r="A220" s="48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>
      <x:c r="A221" s="48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>
      <x:c r="A222" s="48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>
      <x:c r="A223" s="48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>
      <x:c r="A224" s="48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>
      <x:c r="A225" s="48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>
      <x:c r="A226" s="48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>
      <x:c r="A227" s="48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>
      <x:c r="A228" s="48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>
      <x:c r="A229" s="48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>
      <x:c r="A230" s="48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>
      <x:c r="A231" s="48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>
      <x:c r="A232" s="48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>
      <x:c r="A233" s="48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>
      <x:c r="A234" s="48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>
      <x:c r="A235" s="48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>
      <x:c r="A236" s="48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>
      <x:c r="A237" s="48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>
      <x:c r="A238" s="48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>
      <x:c r="A239" s="48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>
      <x:c r="A240" s="48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>
      <x:c r="A241" s="48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>
      <x:c r="A242" s="48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>
      <x:c r="A243" s="48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>
      <x:c r="A244" s="48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>
      <x:c r="A245" s="48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>
      <x:c r="A246" s="48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>
      <x:c r="A247" s="48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>
      <x:c r="A248" s="48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>
      <x:c r="A249" s="48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>
      <x:c r="A250" s="48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  <x:row r="251">
      <x:c r="A251" s="48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</x:row>
    <x:row r="252">
      <x:c r="A252" s="48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</x:row>
    <x:row r="253">
      <x:c r="A253" s="48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</x:row>
    <x:row r="254">
      <x:c r="A254" s="48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</x:row>
    <x:row r="255">
      <x:c r="A255" s="48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</x:row>
    <x:row r="256">
      <x:c r="A256" s="48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</x:row>
    <x:row r="257">
      <x:c r="A257" s="48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</x:row>
    <x:row r="258">
      <x:c r="A258" s="48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</x:row>
    <x:row r="259">
      <x:c r="A259" s="48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</x:row>
    <x:row r="260">
      <x:c r="A260" s="48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</x:row>
    <x:row r="261">
      <x:c r="A261" s="48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</x:row>
    <x:row r="262">
      <x:c r="A262" s="48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</x:row>
    <x:row r="263">
      <x:c r="A263" s="48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</x:row>
    <x:row r="264">
      <x:c r="A264" s="48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</x:row>
    <x:row r="265">
      <x:c r="A265" s="48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</x:row>
    <x:row r="266">
      <x:c r="A266" s="48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</x:row>
    <x:row r="267">
      <x:c r="A267" s="48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</x:row>
    <x:row r="268">
      <x:c r="A268" s="48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</x:row>
    <x:row r="269">
      <x:c r="A269" s="48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</x:row>
    <x:row r="270">
      <x:c r="A270" s="48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</x:row>
    <x:row r="271">
      <x:c r="A271" s="48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</x:row>
    <x:row r="272">
      <x:c r="A272" s="48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</x:row>
    <x:row r="273">
      <x:c r="A273" s="48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</x:row>
    <x:row r="274">
      <x:c r="A274" s="48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</x:row>
    <x:row r="275">
      <x:c r="A275" s="48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</x:row>
    <x:row r="276">
      <x:c r="A276" s="48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</x:row>
    <x:row r="277">
      <x:c r="A277" s="48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</x:row>
    <x:row r="278">
      <x:c r="A278" s="48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</x:row>
    <x:row r="279">
      <x:c r="A279" s="48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</x:row>
    <x:row r="280">
      <x:c r="A280" s="48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</x:row>
    <x:row r="281">
      <x:c r="A281" s="48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</x:row>
    <x:row r="282">
      <x:c r="A282" s="48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</x:row>
    <x:row r="283">
      <x:c r="A283" s="48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</x:row>
    <x:row r="284">
      <x:c r="A284" s="48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</x:row>
    <x:row r="285">
      <x:c r="A285" s="48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</x:row>
    <x:row r="286">
      <x:c r="A286" s="48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</x:row>
    <x:row r="287">
      <x:c r="A287" s="48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</x:row>
    <x:row r="288">
      <x:c r="A288" s="48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</x:row>
    <x:row r="289">
      <x:c r="A289" s="48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</x:row>
    <x:row r="290">
      <x:c r="A290" s="48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</x:row>
    <x:row r="291">
      <x:c r="A291" s="48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</x:row>
    <x:row r="292">
      <x:c r="A292" s="48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</x:row>
    <x:row r="293">
      <x:c r="A293" s="48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</x:row>
    <x:row r="294">
      <x:c r="A294" s="48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</x:row>
    <x:row r="295">
      <x:c r="A295" s="48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</x:row>
    <x:row r="296">
      <x:c r="A296" s="48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</x:row>
    <x:row r="297">
      <x:c r="A297" s="48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</x:row>
    <x:row r="298">
      <x:c r="A298" s="48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</x:row>
    <x:row r="299">
      <x:c r="A299" s="48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</x:row>
    <x:row r="300">
      <x:c r="A300" s="48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</x:row>
  </x:sheetData>
  <x:pageMargins left="0.7" right="0.7" top="0.75" bottom="0.75" header="0.3" footer="0.3"/>
  <x:tableParts count="1">
    <x:tablePart xmlns:r="http://schemas.openxmlformats.org/officeDocument/2006/relationships" r:id="R5e2c4cb2998643d0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46" hidden="0" customWidth="1"/>
    <x:col min="7" max="7" width="46" hidden="0" customWidth="1"/>
    <x:col min="8" max="8" width="36" hidden="0" customWidth="1"/>
  </x:cols>
  <x:sheetData>
    <x:row r="1" ht="34" customHeight="1">
      <x:c r="A1" s="8" t="str">
        <x:v>Update_ID</x:v>
      </x:c>
      <x:c r="B1" s="8" t="str">
        <x:v>Date</x:v>
      </x:c>
      <x:c r="C1" s="8" t="str">
        <x:v>Year</x:v>
      </x:c>
      <x:c r="D1" s="8" t="str">
        <x:v>Agency</x:v>
      </x:c>
      <x:c r="E1" s="8" t="str">
        <x:v>Type</x:v>
      </x:c>
      <x:c r="F1" s="8" t="str">
        <x:v>Title</x:v>
      </x:c>
      <x:c r="G1" s="8" t="str">
        <x:v>Relevance</x:v>
      </x:c>
      <x:c r="H1" s="8" t="str">
        <x:v>Source_URL</x:v>
      </x:c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2" t="str">
        <x:v>R001</x:v>
      </x:c>
      <x:c r="B2" s="48" t="n">
        <x:v>45664</x:v>
      </x:c>
      <x:c r="C2" s="2" t="n">
        <x:v>2025</x:v>
      </x:c>
      <x:c r="D2" s="2" t="str">
        <x:v>FDA</x:v>
      </x:c>
      <x:c r="E2" s="2" t="str">
        <x:v>Draft guidance</x:v>
      </x:c>
      <x:c r="F2" s="2" t="str">
        <x:v>Artificial Intelligence-Enabled Device Software Functions: Lifecycle Management and Marketing Submission Recommendations</x:v>
      </x:c>
      <x:c r="G2" s="2" t="str">
        <x:v>AI medical-device lifecycle, evidence and marketing-submission expectations.</x:v>
      </x:c>
      <x:c r="H2" s="2" t="str">
        <x:v>https://www.fda.gov/medical-devices/digital-health-center-excellence/guidances-digital-health-content</x:v>
      </x:c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2" t="str">
        <x:v>R002</x:v>
      </x:c>
      <x:c r="B3" s="48" t="n">
        <x:v>45835</x:v>
      </x:c>
      <x:c r="C3" s="2" t="n">
        <x:v>2025</x:v>
      </x:c>
      <x:c r="D3" s="2" t="str">
        <x:v>FDA</x:v>
      </x:c>
      <x:c r="E3" s="2" t="str">
        <x:v>Final guidance</x:v>
      </x:c>
      <x:c r="F3" s="2" t="str">
        <x:v>Cybersecurity in Medical Devices: Quality System Considerations and Content of Premarket Submissions</x:v>
      </x:c>
      <x:c r="G3" s="2" t="str">
        <x:v>Cybersecurity expectations for connected/wearable medical devices.</x:v>
      </x:c>
      <x:c r="H3" s="2" t="str">
        <x:v>https://www.fda.gov/medical-devices/digital-health-center-excellence/guidances-digital-health-content</x:v>
      </x:c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2" t="str">
        <x:v>R003</x:v>
      </x:c>
      <x:c r="B4" s="48" t="n">
        <x:v>45887</x:v>
      </x:c>
      <x:c r="C4" s="2" t="n">
        <x:v>2025</x:v>
      </x:c>
      <x:c r="D4" s="2" t="str">
        <x:v>FDA</x:v>
      </x:c>
      <x:c r="E4" s="2" t="str">
        <x:v>Final guidance</x:v>
      </x:c>
      <x:c r="F4" s="2" t="str">
        <x:v>Marketing Submission Recommendations for a Predetermined Change Control Plan for Artificial Intelligence-Enabled Device Software Functions</x:v>
      </x:c>
      <x:c r="G4" s="2" t="str">
        <x:v>PCCPs for planned AI device modifications across 510(k), De Novo and PMA pathways.</x:v>
      </x:c>
      <x:c r="H4" s="2" t="str">
        <x:v>https://www.fda.gov/regulatory-information/search-fda-guidance-documents/marketing-submission-recommendations-predetermined-change-control-plan-artificial-intelligence</x:v>
      </x:c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>
      <x:c r="A5" s="2" t="str">
        <x:v>R004</x:v>
      </x:c>
      <x:c r="B5" s="48" t="n">
        <x:v>46028</x:v>
      </x:c>
      <x:c r="C5" s="2" t="n">
        <x:v>2026</x:v>
      </x:c>
      <x:c r="D5" s="2" t="str">
        <x:v>FDA</x:v>
      </x:c>
      <x:c r="E5" s="2" t="str">
        <x:v>Final guidance</x:v>
      </x:c>
      <x:c r="F5" s="2" t="str">
        <x:v>General Wellness: Policy for Low Risk Devices</x:v>
      </x:c>
      <x:c r="G5" s="2" t="str">
        <x:v>Helps distinguish low-risk wellness functions from regulated medical-device claims.</x:v>
      </x:c>
      <x:c r="H5" s="2" t="str">
        <x:v>https://www.fda.gov/medical-devices/digital-health-center-excellence/guidances-digital-health-content</x:v>
      </x:c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>
      <x:c r="A6" s="2" t="str">
        <x:v>R005</x:v>
      </x:c>
      <x:c r="B6" s="48" t="n">
        <x:v>46051</x:v>
      </x:c>
      <x:c r="C6" s="2" t="n">
        <x:v>2026</x:v>
      </x:c>
      <x:c r="D6" s="2" t="str">
        <x:v>FDA</x:v>
      </x:c>
      <x:c r="E6" s="2" t="str">
        <x:v>Final guidance</x:v>
      </x:c>
      <x:c r="F6" s="2" t="str">
        <x:v>Clinical Decision Support Software</x:v>
      </x:c>
      <x:c r="G6" s="2" t="str">
        <x:v>Relevant when wearable/AI outputs are used to support clinician decisions.</x:v>
      </x:c>
      <x:c r="H6" s="2" t="str">
        <x:v>https://www.fda.gov/medical-devices/digital-health-center-excellence/guidances-digital-health-content</x:v>
      </x:c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>
      <x:c r="A7" s="2" t="str">
        <x:v>R006</x:v>
      </x:c>
      <x:c r="B7" s="48" t="n">
        <x:v>46225</x:v>
      </x:c>
      <x:c r="C7" s="2" t="n">
        <x:v>2026</x:v>
      </x:c>
      <x:c r="D7" s="2" t="str">
        <x:v>FDA</x:v>
      </x:c>
      <x:c r="E7" s="2" t="str">
        <x:v>Pilot announcement</x:v>
      </x:c>
      <x:c r="F7" s="2" t="str">
        <x:v>First participant selected for TEMPO for Digital Health Devices Pilot</x:v>
      </x:c>
      <x:c r="G7" s="2" t="str">
        <x:v>Focus on technology-enabled outcomes and real-world evidence for digital health devices.</x:v>
      </x:c>
      <x:c r="H7" s="2" t="str">
        <x:v>https://www.fda.gov/news-events/press-announcements/fda-announces-first-participant-selected-tempo-digital-health-devices-pilot</x:v>
      </x:c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>
      <x:c r="A8" s="2" t="str">
        <x:v>R007</x:v>
      </x:c>
      <x:c r="B8" s="48" t="n">
        <x:v>46252</x:v>
      </x:c>
      <x:c r="C8" s="2" t="n">
        <x:v>2026</x:v>
      </x:c>
      <x:c r="D8" s="2" t="str">
        <x:v>FDA</x:v>
      </x:c>
      <x:c r="E8" s="2" t="str">
        <x:v>Discussion paper</x:v>
      </x:c>
      <x:c r="F8" s="2" t="str">
        <x:v>Considerations for the Regulation of Generative AI-Enabled Medical Devices</x:v>
      </x:c>
      <x:c r="G8" s="2" t="str">
        <x:v>Emerging regulatory approach for GenAI-enabled medical devices.</x:v>
      </x:c>
      <x:c r="H8" s="2" t="str">
        <x:v>https://www.fda.gov/medical-devices/digital-health-center-excellence/considerations-regulation-generative-ai-enabled-medical-devices-discussion-paper-and-request</x:v>
      </x:c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>
      <x:c r="A9" s="2" t="str">
        <x:v>R008</x:v>
      </x:c>
      <x:c r="B9" s="48" t="n">
        <x:v>46269</x:v>
      </x:c>
      <x:c r="C9" s="2" t="n">
        <x:v>2026</x:v>
      </x:c>
      <x:c r="D9" s="2" t="str">
        <x:v>FDA</x:v>
      </x:c>
      <x:c r="E9" s="2" t="str">
        <x:v>List update</x:v>
      </x:c>
      <x:c r="F9" s="2" t="str">
        <x:v>Medical Devices that Incorporate Sensor-based Digital Health Technology</x:v>
      </x:c>
      <x:c r="G9" s="2" t="str">
        <x:v>Current FDA-authorized wearable/sensor-based DHT list used in this workbook.</x:v>
      </x:c>
      <x:c r="H9" s="2" t="str">
        <x:v>https://www.fda.gov/medical-devices/digital-health-center-excellence/medical-devices-incorporate-sensor-based-digital-health-technology</x:v>
      </x:c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>
      <x:c r="A10" s="2"/>
      <x:c r="B10" s="48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>
      <x:c r="A11" s="2"/>
      <x:c r="B11" s="48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>
      <x:c r="A12" s="2"/>
      <x:c r="B12" s="48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>
      <x:c r="A13" s="2"/>
      <x:c r="B13" s="48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>
      <x:c r="A14" s="2"/>
      <x:c r="B14" s="48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>
      <x:c r="A15" s="2"/>
      <x:c r="B15" s="48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2"/>
      <x:c r="B16" s="48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2"/>
      <x:c r="B17" s="48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2"/>
      <x:c r="B18" s="48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2"/>
      <x:c r="B19" s="48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2"/>
      <x:c r="B20" s="48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2"/>
      <x:c r="B21" s="48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"/>
      <x:c r="B22" s="48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"/>
      <x:c r="B23" s="48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/>
      <x:c r="B24" s="48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48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48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48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48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48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48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48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48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48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48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48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48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48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48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48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48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48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48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48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48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48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48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48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48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48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48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48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48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48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48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48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48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48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48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48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48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48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48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48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48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48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48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48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48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48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48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48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48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48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48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48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48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48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48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48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48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48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48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48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48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48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48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48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48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48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48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48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48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48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48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48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48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48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48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48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48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48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48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48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48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48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48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48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48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48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48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48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48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48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48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48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48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48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48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48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48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48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48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48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48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48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48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48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48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48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48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48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48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48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48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48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48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48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48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48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48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48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48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48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48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48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48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48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48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48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48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48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48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48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48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48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48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48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48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48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48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48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48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48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48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48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48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48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48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48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48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48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48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48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48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48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48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48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48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48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48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48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48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48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48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48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48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48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48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48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48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48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48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48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48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48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48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48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48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48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48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>
      <x:c r="A201" s="2"/>
      <x:c r="B201" s="48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>
      <x:c r="A202" s="2"/>
      <x:c r="B202" s="48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>
      <x:c r="A203" s="2"/>
      <x:c r="B203" s="48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>
      <x:c r="A204" s="2"/>
      <x:c r="B204" s="48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>
      <x:c r="A205" s="2"/>
      <x:c r="B205" s="48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>
      <x:c r="A206" s="2"/>
      <x:c r="B206" s="48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>
      <x:c r="A207" s="2"/>
      <x:c r="B207" s="48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>
      <x:c r="A208" s="2"/>
      <x:c r="B208" s="48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>
      <x:c r="A209" s="2"/>
      <x:c r="B209" s="48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>
      <x:c r="A210" s="2"/>
      <x:c r="B210" s="48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>
      <x:c r="A211" s="2"/>
      <x:c r="B211" s="48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>
      <x:c r="A212" s="2"/>
      <x:c r="B212" s="48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>
      <x:c r="A213" s="2"/>
      <x:c r="B213" s="48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>
      <x:c r="A214" s="2"/>
      <x:c r="B214" s="48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>
      <x:c r="A215" s="2"/>
      <x:c r="B215" s="48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>
      <x:c r="A216" s="2"/>
      <x:c r="B216" s="48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>
      <x:c r="A217" s="2"/>
      <x:c r="B217" s="48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>
      <x:c r="A218" s="2"/>
      <x:c r="B218" s="48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>
      <x:c r="A219" s="2"/>
      <x:c r="B219" s="48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>
      <x:c r="A220" s="2"/>
      <x:c r="B220" s="48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>
      <x:c r="A221" s="2"/>
      <x:c r="B221" s="48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>
      <x:c r="A222" s="2"/>
      <x:c r="B222" s="48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>
      <x:c r="A223" s="2"/>
      <x:c r="B223" s="48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>
      <x:c r="A224" s="2"/>
      <x:c r="B224" s="48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>
      <x:c r="A225" s="2"/>
      <x:c r="B225" s="48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>
      <x:c r="A226" s="2"/>
      <x:c r="B226" s="48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>
      <x:c r="A227" s="2"/>
      <x:c r="B227" s="48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>
      <x:c r="A228" s="2"/>
      <x:c r="B228" s="48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>
      <x:c r="A229" s="2"/>
      <x:c r="B229" s="48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>
      <x:c r="A230" s="2"/>
      <x:c r="B230" s="48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>
      <x:c r="A231" s="2"/>
      <x:c r="B231" s="48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>
      <x:c r="A232" s="2"/>
      <x:c r="B232" s="48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>
      <x:c r="A233" s="2"/>
      <x:c r="B233" s="48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>
      <x:c r="A234" s="2"/>
      <x:c r="B234" s="48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>
      <x:c r="A235" s="2"/>
      <x:c r="B235" s="48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>
      <x:c r="A236" s="2"/>
      <x:c r="B236" s="48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>
      <x:c r="A237" s="2"/>
      <x:c r="B237" s="48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>
      <x:c r="A238" s="2"/>
      <x:c r="B238" s="48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>
      <x:c r="A239" s="2"/>
      <x:c r="B239" s="48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>
      <x:c r="A240" s="2"/>
      <x:c r="B240" s="48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>
      <x:c r="A241" s="2"/>
      <x:c r="B241" s="48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>
      <x:c r="A242" s="2"/>
      <x:c r="B242" s="48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>
      <x:c r="A243" s="2"/>
      <x:c r="B243" s="48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>
      <x:c r="A244" s="2"/>
      <x:c r="B244" s="48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>
      <x:c r="A245" s="2"/>
      <x:c r="B245" s="48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>
      <x:c r="A246" s="2"/>
      <x:c r="B246" s="48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>
      <x:c r="A247" s="2"/>
      <x:c r="B247" s="48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>
      <x:c r="A248" s="2"/>
      <x:c r="B248" s="48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>
      <x:c r="A249" s="2"/>
      <x:c r="B249" s="48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>
      <x:c r="A250" s="2"/>
      <x:c r="B250" s="48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  <x:row r="251">
      <x:c r="A251" s="2"/>
      <x:c r="B251" s="48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</x:row>
    <x:row r="252">
      <x:c r="A252" s="2"/>
      <x:c r="B252" s="48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</x:row>
    <x:row r="253">
      <x:c r="A253" s="2"/>
      <x:c r="B253" s="48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</x:row>
    <x:row r="254">
      <x:c r="A254" s="2"/>
      <x:c r="B254" s="48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</x:row>
    <x:row r="255">
      <x:c r="A255" s="2"/>
      <x:c r="B255" s="48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</x:row>
    <x:row r="256">
      <x:c r="A256" s="2"/>
      <x:c r="B256" s="48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</x:row>
    <x:row r="257">
      <x:c r="A257" s="2"/>
      <x:c r="B257" s="48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</x:row>
    <x:row r="258">
      <x:c r="A258" s="2"/>
      <x:c r="B258" s="48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</x:row>
    <x:row r="259">
      <x:c r="A259" s="2"/>
      <x:c r="B259" s="48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</x:row>
    <x:row r="260">
      <x:c r="A260" s="2"/>
      <x:c r="B260" s="48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</x:row>
    <x:row r="261">
      <x:c r="A261" s="2"/>
      <x:c r="B261" s="48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</x:row>
    <x:row r="262">
      <x:c r="A262" s="2"/>
      <x:c r="B262" s="48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</x:row>
    <x:row r="263">
      <x:c r="A263" s="2"/>
      <x:c r="B263" s="48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</x:row>
    <x:row r="264">
      <x:c r="A264" s="2"/>
      <x:c r="B264" s="48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</x:row>
    <x:row r="265">
      <x:c r="A265" s="2"/>
      <x:c r="B265" s="48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</x:row>
    <x:row r="266">
      <x:c r="A266" s="2"/>
      <x:c r="B266" s="48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</x:row>
    <x:row r="267">
      <x:c r="A267" s="2"/>
      <x:c r="B267" s="48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</x:row>
    <x:row r="268">
      <x:c r="A268" s="2"/>
      <x:c r="B268" s="48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</x:row>
    <x:row r="269">
      <x:c r="A269" s="2"/>
      <x:c r="B269" s="48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</x:row>
    <x:row r="270">
      <x:c r="A270" s="2"/>
      <x:c r="B270" s="48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</x:row>
    <x:row r="271">
      <x:c r="A271" s="2"/>
      <x:c r="B271" s="48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</x:row>
    <x:row r="272">
      <x:c r="A272" s="2"/>
      <x:c r="B272" s="48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</x:row>
    <x:row r="273">
      <x:c r="A273" s="2"/>
      <x:c r="B273" s="48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</x:row>
    <x:row r="274">
      <x:c r="A274" s="2"/>
      <x:c r="B274" s="48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</x:row>
    <x:row r="275">
      <x:c r="A275" s="2"/>
      <x:c r="B275" s="48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</x:row>
    <x:row r="276">
      <x:c r="A276" s="2"/>
      <x:c r="B276" s="48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</x:row>
    <x:row r="277">
      <x:c r="A277" s="2"/>
      <x:c r="B277" s="48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</x:row>
    <x:row r="278">
      <x:c r="A278" s="2"/>
      <x:c r="B278" s="48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</x:row>
    <x:row r="279">
      <x:c r="A279" s="2"/>
      <x:c r="B279" s="48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</x:row>
    <x:row r="280">
      <x:c r="A280" s="2"/>
      <x:c r="B280" s="48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</x:row>
    <x:row r="281">
      <x:c r="A281" s="2"/>
      <x:c r="B281" s="48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</x:row>
    <x:row r="282">
      <x:c r="A282" s="2"/>
      <x:c r="B282" s="48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</x:row>
    <x:row r="283">
      <x:c r="A283" s="2"/>
      <x:c r="B283" s="48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</x:row>
    <x:row r="284">
      <x:c r="A284" s="2"/>
      <x:c r="B284" s="48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</x:row>
    <x:row r="285">
      <x:c r="A285" s="2"/>
      <x:c r="B285" s="48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</x:row>
    <x:row r="286">
      <x:c r="A286" s="2"/>
      <x:c r="B286" s="48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</x:row>
    <x:row r="287">
      <x:c r="A287" s="2"/>
      <x:c r="B287" s="48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</x:row>
    <x:row r="288">
      <x:c r="A288" s="2"/>
      <x:c r="B288" s="48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</x:row>
    <x:row r="289">
      <x:c r="A289" s="2"/>
      <x:c r="B289" s="48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</x:row>
    <x:row r="290">
      <x:c r="A290" s="2"/>
      <x:c r="B290" s="48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</x:row>
    <x:row r="291">
      <x:c r="A291" s="2"/>
      <x:c r="B291" s="48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</x:row>
    <x:row r="292">
      <x:c r="A292" s="2"/>
      <x:c r="B292" s="48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</x:row>
    <x:row r="293">
      <x:c r="A293" s="2"/>
      <x:c r="B293" s="48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</x:row>
    <x:row r="294">
      <x:c r="A294" s="2"/>
      <x:c r="B294" s="48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</x:row>
    <x:row r="295">
      <x:c r="A295" s="2"/>
      <x:c r="B295" s="48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</x:row>
    <x:row r="296">
      <x:c r="A296" s="2"/>
      <x:c r="B296" s="48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</x:row>
    <x:row r="297">
      <x:c r="A297" s="2"/>
      <x:c r="B297" s="48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</x:row>
    <x:row r="298">
      <x:c r="A298" s="2"/>
      <x:c r="B298" s="48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</x:row>
    <x:row r="299">
      <x:c r="A299" s="2"/>
      <x:c r="B299" s="48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</x:row>
    <x:row r="300">
      <x:c r="A300" s="2"/>
      <x:c r="B300" s="48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</x:row>
  </x:sheetData>
  <x:pageMargins left="0.7" right="0.7" top="0.75" bottom="0.75" header="0.3" footer="0.3"/>
  <x:tableParts count="1">
    <x:tablePart xmlns:r="http://schemas.openxmlformats.org/officeDocument/2006/relationships" r:id="R917462621a174cd8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4" hidden="0" customWidth="1"/>
    <x:col min="3" max="3" width="34" hidden="0" customWidth="1"/>
    <x:col min="4" max="4" width="46" hidden="0" customWidth="1"/>
    <x:col min="5" max="5" width="46" hidden="0" customWidth="1"/>
    <x:col min="6" max="6" width="28" hidden="0" customWidth="1"/>
    <x:col min="7" max="7" width="42" hidden="0" customWidth="1"/>
    <x:col min="8" max="8" width="22" hidden="0" customWidth="1"/>
  </x:cols>
  <x:sheetData>
    <x:row r="1" ht="34" customHeight="1">
      <x:c r="A1" s="8" t="str">
        <x:v>Story_Order</x:v>
      </x:c>
      <x:c r="B1" s="8" t="str">
        <x:v>Section</x:v>
      </x:c>
      <x:c r="C1" s="8" t="str">
        <x:v>Research_Question</x:v>
      </x:c>
      <x:c r="D1" s="8" t="str">
        <x:v>Best_User_Facing_Insight</x:v>
      </x:c>
      <x:c r="E1" s="8" t="str">
        <x:v>Data_To_Show</x:v>
      </x:c>
      <x:c r="F1" s="8" t="str">
        <x:v>Recommended_Visual</x:v>
      </x:c>
      <x:c r="G1" s="8" t="str">
        <x:v>Caution_To_Show</x:v>
      </x:c>
      <x:c r="H1" s="8" t="str">
        <x:v>Primary_Evidence_IDs</x:v>
      </x:c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2" t="n">
        <x:v>1</x:v>
      </x:c>
      <x:c r="B2" s="2" t="str">
        <x:v>Opening</x:v>
      </x:c>
      <x:c r="C2" s="2" t="str">
        <x:v>Where is the evidence actually strongest?</x:v>
      </x:c>
      <x:c r="D2" s="2" t="str">
        <x:v>Lead with the evidence ladder: technical detection → clinical pathway → patient outcome → deployment.</x:v>
      </x:c>
      <x:c r="E2" s="2" t="str">
        <x:v>AF diagnostic meta-analysis, EQUAL RCT, CGM outcomes, validation gaps</x:v>
      </x:c>
      <x:c r="F2" s="2" t="str">
        <x:v>Evidence ladder / four-stage story</x:v>
      </x:c>
      <x:c r="G2" s="2" t="str">
        <x:v>Different evidence layers are not interchangeable.</x:v>
      </x:c>
      <x:c r="H2" s="2" t="str">
        <x:v>E002;E003;E005;E008</x:v>
      </x:c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2" t="n">
        <x:v>2</x:v>
      </x:c>
      <x:c r="B3" s="2" t="str">
        <x:v>Heart / AF</x:v>
      </x:c>
      <x:c r="C3" s="2" t="str">
        <x:v>Can a watch detect AF, and does that matter clinically?</x:v>
      </x:c>
      <x:c r="D3" s="2" t="str">
        <x:v>AF has strong diagnostic performance, but RCT value comes from a watch + confirmation pathway, not autonomous diagnosis.</x:v>
      </x:c>
      <x:c r="E3" s="2" t="str">
        <x:v>Device-specific sensitivity/specificity + EQUAL 9.6% vs 2.3%</x:v>
      </x:c>
      <x:c r="F3" s="2" t="str">
        <x:v>Paired device bars + RCT arm comparison</x:v>
      </x:c>
      <x:c r="G3" s="2" t="str">
        <x:v>High heterogeneity; high-risk older cohort.</x:v>
      </x:c>
      <x:c r="H3" s="2" t="str">
        <x:v>E002;E003</x:v>
      </x:c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2" t="n">
        <x:v>3</x:v>
      </x:c>
      <x:c r="B4" s="2" t="str">
        <x:v>Metabolic / CGM</x:v>
      </x:c>
      <x:c r="C4" s="2" t="str">
        <x:v>Does continuous sensing improve more than HbA1c?</x:v>
      </x:c>
      <x:c r="D4" s="2" t="str">
        <x:v>CGM improves time-in-range, mean glucose, weight, BP and lipids; MACE benefit is not established.</x:v>
      </x:c>
      <x:c r="E4" s="2" t="str">
        <x:v>8 cardiometabolic outcome effects</x:v>
      </x:c>
      <x:c r="F4" s="2" t="str">
        <x:v>Outcome profile / dot plot</x:v>
      </x:c>
      <x:c r="G4" s="2" t="str">
        <x:v>CGM effect is sensing + feedback, not necessarily AI.</x:v>
      </x:c>
      <x:c r="H4" s="2" t="str">
        <x:v>E005;E006</x:v>
      </x:c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>
      <x:c r="A5" s="2" t="n">
        <x:v>4</x:v>
      </x:c>
      <x:c r="B5" s="2" t="str">
        <x:v>Prediction horizon</x:v>
      </x:c>
      <x:c r="C5" s="2" t="str">
        <x:v>What happens when prediction looks farther ahead?</x:v>
      </x:c>
      <x:c r="D5" s="2" t="str">
        <x:v>Forecast error rises sharply as glucose-prediction horizon extends.</x:v>
      </x:c>
      <x:c r="E5" s="2" t="str">
        <x:v>15/30/45/60-min RMSE</x:v>
      </x:c>
      <x:c r="F5" s="2" t="str">
        <x:v>Line chart</x:v>
      </x:c>
      <x:c r="G5" s="2" t="str">
        <x:v>Do not convert RMSE into fake 'accuracy'.</x:v>
      </x:c>
      <x:c r="H5" s="2" t="str">
        <x:v>E004</x:v>
      </x:c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>
      <x:c r="A6" s="2" t="n">
        <x:v>5</x:v>
      </x:c>
      <x:c r="B6" s="2" t="str">
        <x:v>Neurology / Parkinson</x:v>
      </x:c>
      <x:c r="C6" s="2" t="str">
        <x:v>Why do impressive model results not equal readiness?</x:v>
      </x:c>
      <x:c r="D6" s="2" t="str">
        <x:v>Only a small fraction of Parkinson wearable studies use external validation.</x:v>
      </x:c>
      <x:c r="E6" s="2" t="str">
        <x:v>66 studies; validation methods; external validation 4/66</x:v>
      </x:c>
      <x:c r="F6" s="2" t="str">
        <x:v>Validation funnel</x:v>
      </x:c>
      <x:c r="G6" s="2" t="str">
        <x:v>Calibration and clinical thresholds are poorly reported.</x:v>
      </x:c>
      <x:c r="H6" s="2" t="str">
        <x:v>E008</x:v>
      </x:c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>
      <x:c r="A7" s="2" t="n">
        <x:v>6</x:v>
      </x:c>
      <x:c r="B7" s="2" t="str">
        <x:v>Neurology / Epilepsy</x:v>
      </x:c>
      <x:c r="C7" s="2" t="str">
        <x:v>What is the field optimizing for?</x:v>
      </x:c>
      <x:c r="D7" s="2" t="str">
        <x:v>Wearable epilepsy research is detection-heavy; prediction and open data lag.</x:v>
      </x:c>
      <x:c r="E7" s="2" t="str">
        <x:v>Detection vs prediction; sensors; models; closed-data rate</x:v>
      </x:c>
      <x:c r="F7" s="2" t="str">
        <x:v>100% stacked bars + ranked bars</x:v>
      </x:c>
      <x:c r="G7" s="2" t="str">
        <x:v>High technical performance does not solve false alarms.</x:v>
      </x:c>
      <x:c r="H7" s="2" t="str">
        <x:v>E011;E012</x:v>
      </x:c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>
      <x:c r="A8" s="2" t="n">
        <x:v>7</x:v>
      </x:c>
      <x:c r="B8" s="2" t="str">
        <x:v>Sleep apnea</x:v>
      </x:c>
      <x:c r="C8" s="2" t="str">
        <x:v>Can low-cost wearables become credible screening tools?</x:v>
      </x:c>
      <x:c r="D8" s="2" t="str">
        <x:v>2026 oximetry meta-analysis is large and quantitatively strong; external validation studies show how to test devices properly.</x:v>
      </x:c>
      <x:c r="E8" s="2" t="str">
        <x:v>23,171-participant meta + TipTraQ external validation</x:v>
      </x:c>
      <x:c r="F8" s="2" t="str">
        <x:v>Forest-style summary + validation card</x:v>
      </x:c>
      <x:c r="G8" s="2" t="str">
        <x:v>Positive screens still require confirmatory pathways.</x:v>
      </x:c>
      <x:c r="H8" s="2" t="str">
        <x:v>E016;E017;E018</x:v>
      </x:c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>
      <x:c r="A9" s="2" t="n">
        <x:v>8</x:v>
      </x:c>
      <x:c r="B9" s="2" t="str">
        <x:v>Mental health</x:v>
      </x:c>
      <x:c r="C9" s="2" t="str">
        <x:v>Is depression prediction as strong as depression detection?</x:v>
      </x:c>
      <x:c r="D9" s="2" t="str">
        <x:v>Detection is much stronger than episode prediction; multimodal biomarkers are more defensible than one sensor.</x:v>
      </x:c>
      <x:c r="E9" s="2" t="str">
        <x:v>Detection sens/spec/AUC vs episode prediction specificity; sleep/activity biomarkers</x:v>
      </x:c>
      <x:c r="F9" s="2" t="str">
        <x:v>Detection-vs-prediction slope chart + biomarker effect table</x:v>
      </x:c>
      <x:c r="G9" s="2" t="str">
        <x:v>Retrospective/public datasets and heterogeneity limit generalization.</x:v>
      </x:c>
      <x:c r="H9" s="2" t="str">
        <x:v>E019;E020;E021</x:v>
      </x:c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>
      <x:c r="A10" s="2" t="n">
        <x:v>9</x:v>
      </x:c>
      <x:c r="B10" s="2" t="str">
        <x:v>Regulation</x:v>
      </x:c>
      <x:c r="C10" s="2" t="str">
        <x:v>Is this still experimental technology?</x:v>
      </x:c>
      <x:c r="D10" s="2" t="str">
        <x:v>FDA's sensor-based DHT list shows active authorization across cardiovascular, neurology, sleep and glucose technologies.</x:v>
      </x:c>
      <x:c r="E10" s="2" t="str">
        <x:v>68 decisions + panels + selected devices</x:v>
      </x:c>
      <x:c r="F10" s="2" t="str">
        <x:v>Panel stacked bar + timeline</x:v>
      </x:c>
      <x:c r="G10" s="2" t="str">
        <x:v>FDA sDHT list is not an AI-only list and is not comprehensive.</x:v>
      </x:c>
      <x:c r="H10" s="2" t="str">
        <x:v>FDA</x:v>
      </x:c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>
      <x:c r="A11" s="2" t="n">
        <x:v>10</x:v>
      </x:c>
      <x:c r="B11" s="2" t="str">
        <x:v>Future pipeline</x:v>
      </x:c>
      <x:c r="C11" s="2" t="str">
        <x:v>What evidence is being generated now?</x:v>
      </x:c>
      <x:c r="D11" s="2" t="str">
        <x:v>2025-26 trials move toward prospective multimodal, wearable and forecasting studies.</x:v>
      </x:c>
      <x:c r="E11" s="2" t="str">
        <x:v>8 clinical trials with start dates/enrollment</x:v>
      </x:c>
      <x:c r="F11" s="2" t="str">
        <x:v>Trial timeline / bubble plot</x:v>
      </x:c>
      <x:c r="G11" s="2" t="str">
        <x:v>Trials are ongoing; do not present as proven outcomes.</x:v>
      </x:c>
      <x:c r="H11" s="2" t="str">
        <x:v>ClinicalTrials</x:v>
      </x:c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>
      <x:c r="A12" s="2" t="n">
        <x:v>11</x:v>
      </x:c>
      <x:c r="B12" s="2" t="str">
        <x:v>Open research</x:v>
      </x:c>
      <x:c r="C12" s="2" t="str">
        <x:v>What can researchers reproduce today?</x:v>
      </x:c>
      <x:c r="D12" s="2" t="str">
        <x:v>Open wearable datasets exist, but release year is not the same as measurement year.</x:v>
      </x:c>
      <x:c r="E12" s="2" t="str">
        <x:v>PhysioNet 2025 dataset; PD open dataset</x:v>
      </x:c>
      <x:c r="F12" s="2" t="str">
        <x:v>Dataset catalog</x:v>
      </x:c>
      <x:c r="G12" s="2" t="str">
        <x:v>Check collection dates, diversity and labels before model training.</x:v>
      </x:c>
      <x:c r="H12" s="2" t="str">
        <x:v>D001;D003</x:v>
      </x:c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  <x:row r="25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</x:row>
    <x:row r="252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</x:row>
    <x:row r="253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</x:row>
    <x:row r="254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</x:row>
    <x:row r="255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</x:row>
    <x:row r="256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</x:row>
    <x:row r="257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</x:row>
    <x:row r="258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</x:row>
    <x:row r="259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</x:row>
    <x:row r="260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</x:row>
    <x:row r="26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</x:row>
    <x:row r="262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</x:row>
    <x:row r="263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</x:row>
    <x:row r="264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</x:row>
    <x:row r="265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</x:row>
    <x:row r="266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</x:row>
    <x:row r="267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</x:row>
    <x:row r="268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</x:row>
    <x:row r="269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</x:row>
    <x:row r="270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</x:row>
    <x:row r="27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</x:row>
    <x:row r="272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</x:row>
    <x:row r="273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</x:row>
    <x:row r="274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</x:row>
    <x:row r="275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</x:row>
    <x:row r="276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</x:row>
    <x:row r="277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</x:row>
    <x:row r="278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</x:row>
    <x:row r="279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</x:row>
    <x:row r="280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</x:row>
    <x:row r="28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</x:row>
    <x:row r="282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</x:row>
    <x:row r="283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</x:row>
    <x:row r="284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</x:row>
    <x:row r="285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</x:row>
    <x:row r="286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</x:row>
    <x:row r="287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</x:row>
    <x:row r="288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</x:row>
    <x:row r="289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</x:row>
    <x:row r="290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</x:row>
    <x:row r="29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</x:row>
    <x:row r="292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</x:row>
    <x:row r="293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</x:row>
    <x:row r="294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</x:row>
    <x:row r="295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</x:row>
    <x:row r="296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</x:row>
    <x:row r="297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</x:row>
    <x:row r="298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</x:row>
    <x:row r="299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</x:row>
    <x:row r="300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</x:row>
  </x:sheetData>
  <x:pageMargins left="0.7" right="0.7" top="0.75" bottom="0.75" header="0.3" footer="0.3"/>
  <x:tableParts count="1">
    <x:tablePart xmlns:r="http://schemas.openxmlformats.org/officeDocument/2006/relationships" r:id="R257f9111b95f4620"/>
  </x:tableParts>
</x:worksheet>
</file>